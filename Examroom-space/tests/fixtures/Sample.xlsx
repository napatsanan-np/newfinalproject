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สมุดงานนี้"/>
  <bookViews>
    <workbookView windowWidth="23040" windowHeight="8280" tabRatio="794" firstSheet="1" activeTab="8"/>
  </bookViews>
  <sheets>
    <sheet name="รับส่งข้อสอบ" sheetId="20" r:id="rId1"/>
    <sheet name="รับต้นฉบับ" sheetId="21" r:id="rId2"/>
    <sheet name="Label" sheetId="18" r:id="rId3"/>
    <sheet name="ใบส่งต้นฉบับ" sheetId="19" r:id="rId4"/>
    <sheet name="กรรมการคุมสอบ" sheetId="22" r:id="rId5"/>
    <sheet name="for examTable" sheetId="16" r:id="rId6"/>
    <sheet name="examTable" sheetId="14" r:id="rId7"/>
    <sheet name="for roomExam" sheetId="17" r:id="rId8"/>
    <sheet name="roomExam" sheetId="15" r:id="rId9"/>
    <sheet name="Room" sheetId="25" r:id="rId10"/>
    <sheet name="roomm" sheetId="28" r:id="rId11"/>
    <sheet name="Proctor" sheetId="23" r:id="rId12"/>
  </sheets>
  <definedNames>
    <definedName name="_xlnm._FilterDatabase" localSheetId="6" hidden="1">examTable!$U$1:$U$1</definedName>
    <definedName name="_xlnm._FilterDatabase" localSheetId="5" hidden="1">'for examTable'!$A$1:$I$1</definedName>
    <definedName name="_xlnm._FilterDatabase" localSheetId="7" hidden="1">'for roomExam'!$A$3:$L$288</definedName>
    <definedName name="_xlnm._FilterDatabase" localSheetId="4" hidden="1">กรรมการคุมสอบ!$A$1:$J$286</definedName>
    <definedName name="_xlnm._FilterDatabase" localSheetId="3" hidden="1">ใบส่งต้นฉบับ!$A$3:$M$3</definedName>
    <definedName name="_xlnm._FilterDatabase" localSheetId="1" hidden="1">รับต้นฉบับ!$O$3:$O$222</definedName>
    <definedName name="Course">'for examTable'!$E:$E</definedName>
    <definedName name="eDate">'for examTable'!#REF!</definedName>
    <definedName name="eTime">'for examTable'!$C:$C</definedName>
    <definedName name="for_exam_table">'for examTable'!#REF!</definedName>
    <definedName name="hr">'for examTable'!$D:$D</definedName>
    <definedName name="Lecturer">'for examTable'!$F:$F</definedName>
    <definedName name="no_st">'for examTable'!$G:$G</definedName>
    <definedName name="_xlnm.Print_Titles" localSheetId="5">'for examTable'!$C:$G,'for examTable'!$1:$1</definedName>
    <definedName name="_xlnm.Print_Titles" localSheetId="7">'for roomExam'!$C:$J,'for roomExam'!$3:$3</definedName>
    <definedName name="_xlnm.Print_Titles" localSheetId="3">ใบส่งต้นฉบับ!$1:$3</definedName>
    <definedName name="ref">'for examTable'!$A:$A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<sst xmlns="http://schemas.openxmlformats.org/spreadsheetml/2006/main" count="15948" uniqueCount="1243">
  <si>
    <t>.</t>
  </si>
  <si>
    <t>ระหว่างวันที่ 31 สิงหาคม - 8 กันยายน 2567</t>
  </si>
  <si>
    <t>วันสอบ</t>
  </si>
  <si>
    <t>เวลาสอบ</t>
  </si>
  <si>
    <t>จำนวน ชม.</t>
  </si>
  <si>
    <t>รายวิชา</t>
  </si>
  <si>
    <t>จำนวน นศ.</t>
  </si>
  <si>
    <t>ห้องสอบ</t>
  </si>
  <si>
    <t>กรรมการคุมสอบ</t>
  </si>
  <si>
    <t>อาจารย์ผู้สอน</t>
  </si>
  <si>
    <t>แถว</t>
  </si>
  <si>
    <t>09:00 - 11:00</t>
  </si>
  <si>
    <r>
      <rPr>
        <sz val="16"/>
        <color theme="1"/>
        <rFont val="TH Sarabun New"/>
        <charset val="134"/>
      </rPr>
      <t xml:space="preserve">513 427-2560 : POLYMER MATERIALS </t>
    </r>
    <r>
      <rPr>
        <sz val="16"/>
        <color rgb="FFFF0000"/>
        <rFont val="TH Sarabun New"/>
        <charset val="134"/>
      </rPr>
      <t>(ฟ้า)</t>
    </r>
  </si>
  <si>
    <t xml:space="preserve">  4203 ว.4</t>
  </si>
  <si>
    <t xml:space="preserve"> เอกพันธ์ บางยี่ขัน , นันทนิตย์ วานิชาชีวะ</t>
  </si>
  <si>
    <t xml:space="preserve"> สุธินี เกิดเทพ</t>
  </si>
  <si>
    <t>C:Lecture</t>
  </si>
  <si>
    <t>-</t>
  </si>
  <si>
    <t>8</t>
  </si>
  <si>
    <t>31</t>
  </si>
  <si>
    <t>523 201-165 : CHEMICAL AND MICROBIOLOGICAL SAFETY</t>
  </si>
  <si>
    <t xml:space="preserve"> สุชารัตน์ สนองเกียรติ</t>
  </si>
  <si>
    <t xml:space="preserve"> สุจินันท์ มีไล้ , ธนาพร ชื่นอิ่ม , สุชารัตน์ สนองเกียรติ</t>
  </si>
  <si>
    <t>515 104-165 : STATISTICS FOR COMPUTING</t>
  </si>
  <si>
    <t xml:space="preserve">  1331 ว.1</t>
  </si>
  <si>
    <t xml:space="preserve"> กรพรรณ เศวตสุวรรณกุล , กฤษณา จันทร์เจริญ</t>
  </si>
  <si>
    <t xml:space="preserve"> ประหยัด แสงงาม</t>
  </si>
  <si>
    <t xml:space="preserve">  1334 ว.1</t>
  </si>
  <si>
    <t xml:space="preserve"> อดิศักดิ์ เม้ามีศรี , ชัยวัฒน์ ศรีสร้อยแก้ว</t>
  </si>
  <si>
    <t>515 201-59 : ELEMENTARY STATISTICS กลุ่ม 3</t>
  </si>
  <si>
    <t>515 201-165 : ELEMENTARY STATISTICS</t>
  </si>
  <si>
    <t>09:00 - 12:00</t>
  </si>
  <si>
    <t>511 100-165 : PRECALCULUS</t>
  </si>
  <si>
    <t xml:space="preserve">  ร.วท.1</t>
  </si>
  <si>
    <t xml:space="preserve"> ธรรมธาดา เขมะรัชตกำธร , สุภนิดา คำบาง , พันธ์วริศ บุญประจันทร์</t>
  </si>
  <si>
    <t xml:space="preserve"> ธรรมธาดา เขมะรัชตกำธร</t>
  </si>
  <si>
    <t>ทุกแถว</t>
  </si>
  <si>
    <t xml:space="preserve"> ธรรมธาดา เขมะรัชตกำธร , ธนากร ปริญญาศาสตร์</t>
  </si>
  <si>
    <t>511 101-165 : CALCULUS I</t>
  </si>
  <si>
    <t xml:space="preserve">  5406 ว.4</t>
  </si>
  <si>
    <t xml:space="preserve"> ผกามาส พะวงษ์ , ณัชปภา สงวนวงศ์ , ขนิษฐา เมฆสวัสดิ์ , กฤช เศรษฐการ , พัฏฐ์ณิชา พัฒนศิริ</t>
  </si>
  <si>
    <t xml:space="preserve"> ผกามาส พะวงษ์</t>
  </si>
  <si>
    <t xml:space="preserve"> ผกามาส พะวงษ์ , ธรรมธาดา เขมะรัชตกำธร</t>
  </si>
  <si>
    <t>511 104-2560-165 : CALCULUS FOR ENGINEERS I</t>
  </si>
  <si>
    <t xml:space="preserve">  หอประชุม</t>
  </si>
  <si>
    <t xml:space="preserve"> สุภาภรณ์ ธรรมประทีป , ธาริณี กฤษฎาพรอนันท์ , ชนากานต์ เทพกรณ์ , ธีระเดช ไหลสุพรรณวงศ์ , วรรณสิริ ล่าบ้านหลวง , ภัทราพร เม้ามีศรี</t>
  </si>
  <si>
    <t xml:space="preserve"> ธีระเดช ไหลสุพรรณวงศ์</t>
  </si>
  <si>
    <t xml:space="preserve"> วรรณรัตน์ รุ่งโรจน์ธีระ , ปรีชญา สัญญฑิตย์ , ธีระเดช ไหลสุพรรณวงศ์</t>
  </si>
  <si>
    <t>511 119-167 : CALCULUS FOR MATHEMATICS TEACHERS I</t>
  </si>
  <si>
    <t xml:space="preserve">  4204 ว.4</t>
  </si>
  <si>
    <t xml:space="preserve"> รัตนา ศรีทัศน์ , ภัททิยา นิมิตรนิวัฒน์</t>
  </si>
  <si>
    <t xml:space="preserve"> ผกามาส พะวงษ์ , จิราภา ลิ้มบุพศิริพร</t>
  </si>
  <si>
    <t>512 101-2562 : GENERAL BIOLOGY I</t>
  </si>
  <si>
    <t xml:space="preserve">  4205 ว.4</t>
  </si>
  <si>
    <t xml:space="preserve"> ณัฐพงศ์ ยิ่งยอดกุล , ศศิภา ตรงต่อมิตร</t>
  </si>
  <si>
    <t xml:space="preserve"> กรกช ชั้นจิรกุล</t>
  </si>
  <si>
    <t xml:space="preserve"> กัมปนาท ธาราภูมิ , สุพรรณญิกา เส็งสาย , วันวิวาห์ ตุ้มน้อย , กรกช ชั้นจิรกุล , ธัญนันท์ วรรณธง บรอคเคิลเฮอร์สท์ , ศรัณยพร มากทรัพย์ , วิวิชชุตา เดชรักษา , ยศเวท สิริจามร , ภาณุพงษ์ ทองเปรม</t>
  </si>
  <si>
    <t>512 105-165 : FUNDAMENTAL BIOLOGY</t>
  </si>
  <si>
    <t xml:space="preserve">  ไววิทย์พุทธารี</t>
  </si>
  <si>
    <t xml:space="preserve"> สิราวรรณ สาสุข , มาริษา บำรุงเรือน , ภาณุพงษ์ ทองเปรม , ปิยาภรณ์ ทองพูล</t>
  </si>
  <si>
    <t xml:space="preserve"> สุธาทิพย์ อำนวยสิน</t>
  </si>
  <si>
    <t xml:space="preserve"> กัมปนาท ธาราภูมิ , สุพรรณญิกา เส็งสาย , วันวิวาห์ ตุ้มน้อย , กรกช ชั้นจิรกุล , ธัญนันท์ วรรณธง บรอคเคิลเฮอร์สท์ , ปรารถนา เผือกวิไล , ศรันย์ภัทร์ สุวรรณรัตน์ , สุธาทิพย์ อำนวยสิน , ชญาดา โชติศรีศุภรัตน์ , ภาณุพงษ์ ทองเปรม , ชลกรานต์ อวยจินดา , พรวิภา พวง</t>
  </si>
  <si>
    <t>512 333-2560-165 : ANIMAL PHYSIOLOGY</t>
  </si>
  <si>
    <t xml:space="preserve">  4206 ว.4</t>
  </si>
  <si>
    <t xml:space="preserve"> พลเสรส์ รมอิสรส , ชญาดา โชติศรีศุภรัตน์</t>
  </si>
  <si>
    <t xml:space="preserve"> ชญาดา โชติศรีศุภรัตน์</t>
  </si>
  <si>
    <t xml:space="preserve"> อดิศรี เจริญพานิช , ชญาดา โชติศรีศุภรัตน์ , ภาณุพงษ์ ทองเปรม , ชลกรานต์ อวยจินดา</t>
  </si>
  <si>
    <t>517 214-2561 : DATA STRUCTURE AND ALGORITHM</t>
  </si>
  <si>
    <t xml:space="preserve">  1227/1,1227/2 ว.1</t>
  </si>
  <si>
    <t xml:space="preserve"> เสฐลัทธ์ รอดเหตุภัย , วัสรา รอดเหตุภัย , สานนท์ ยะหอม</t>
  </si>
  <si>
    <t xml:space="preserve"> วัสรา รอดเหตุภัย</t>
  </si>
  <si>
    <t>517 214-165 : FUNDAMENTALS OF DATA STRUCTURES FOR DATA SCIENCE</t>
  </si>
  <si>
    <t>520 361-165 : SYSTEM ANALYSIS AND DESIGN อ.ปานใจ</t>
  </si>
  <si>
    <t xml:space="preserve">  ร.วท.2</t>
  </si>
  <si>
    <t xml:space="preserve"> สาวิณี ปฐมสุริยะพร , อวัตถา แก้วหานาม , วรันธร สอนสงวน</t>
  </si>
  <si>
    <t xml:space="preserve"> ปานใจ ธารทัศนวงศ์</t>
  </si>
  <si>
    <t>520 361-2560-165 : SYSTEM ANALYSIS AND DESIGN อ.อรวรรณ</t>
  </si>
  <si>
    <t xml:space="preserve">  4103 ว.4</t>
  </si>
  <si>
    <t xml:space="preserve"> อรวรรณ เชาวลิต , สรัญณัชช์ บุญเปรม , จิราภรณ์ สุขนิพิฐพงษ์</t>
  </si>
  <si>
    <t xml:space="preserve"> อรวรรณ เชาวลิต</t>
  </si>
  <si>
    <t>13:00 - 15:00</t>
  </si>
  <si>
    <t>513 343-2560-165 : BIOCHEMISTRY LABORATORY</t>
  </si>
  <si>
    <t xml:space="preserve"> เอกพันธ์ บางยี่ขัน , ชนากานต์ ทองสุข , ชญาดา โชติศรีศุภรัตน์ , กฤษณา จันทร์เจริญ , ศศิภา ตรงต่อมิตร , สรัญณัชช์ บุญเปรม</t>
  </si>
  <si>
    <t xml:space="preserve"> ชนากานต์ ทองสุข</t>
  </si>
  <si>
    <t xml:space="preserve"> วิทวัส หาญดี , สุชารัตน์ สนองเกียรติ , ชนากานต์ ทองสุข , ธนพล เจริญวงษ์ไพบูลย์</t>
  </si>
  <si>
    <t>513 343-165 : BIOCHEMISTRY LABORATORY</t>
  </si>
  <si>
    <t xml:space="preserve"> อรวรรณ เชาวลิต , ขนิษฐา เมฆสวัสดิ์</t>
  </si>
  <si>
    <t>13:00 - 16:00</t>
  </si>
  <si>
    <t>511 105-165 : CALCULUS FOR MATERIALS ENGINEERS</t>
  </si>
  <si>
    <t xml:space="preserve"> ผกามาส พะวงษ์ , อวัตถา แก้วหานาม</t>
  </si>
  <si>
    <t xml:space="preserve"> สุภนิดา คำบาง , ธีระเดช ไหลสุพรรณวงศ์</t>
  </si>
  <si>
    <t xml:space="preserve"> ชนากานต์ เทพกรณ์ , มาริษา บำรุงเรือน</t>
  </si>
  <si>
    <t>511 115-165 : CALCULUS FOR INDUSTRIAL ENGINEERS I</t>
  </si>
  <si>
    <t xml:space="preserve"> รัตนา ศรีทัศน์ , ภัททิยา นิมิตรนิวัฒน์ , ชัยวัฒน์ ศรีสร้อยแก้ว , พันธ์วริศ บุญประจันทร์ , วรรณสิริ ล่าบ้านหลวง</t>
  </si>
  <si>
    <t xml:space="preserve"> รัตนา ศรีทัศน์</t>
  </si>
  <si>
    <t>511 117-165 : ESSENTIAL MATHEMATICS FOR CHEMICAL ENGINEERS</t>
  </si>
  <si>
    <t xml:space="preserve"> พลเสรส์ รมอิสรส , ธรรมธาดา เขมะรัชตกำธร , พัฏฐ์ณิชา พัฒนศิริ , ปิยาภรณ์ ทองพูล</t>
  </si>
  <si>
    <t>1-10</t>
  </si>
  <si>
    <t xml:space="preserve"> ผกามาส พะวงษ์ , รัตนา ศรีทัศน์</t>
  </si>
  <si>
    <r>
      <rPr>
        <sz val="16"/>
        <color theme="1"/>
        <rFont val="TH Sarabun New"/>
        <charset val="134"/>
      </rPr>
      <t xml:space="preserve">511 482-2560 : SELECTED TOPICS IN MATHEMATICS II </t>
    </r>
    <r>
      <rPr>
        <sz val="16"/>
        <color rgb="FFFF0000"/>
        <rFont val="TH Sarabun New"/>
        <charset val="134"/>
      </rPr>
      <t>(ฟ้า)</t>
    </r>
  </si>
  <si>
    <t xml:space="preserve"> ประพันธ์พงศ์ พงศ์ศรีเอี่ยม</t>
  </si>
  <si>
    <t>12-ส.1</t>
  </si>
  <si>
    <r>
      <rPr>
        <sz val="16"/>
        <color theme="1"/>
        <rFont val="TH Sarabun New"/>
        <charset val="134"/>
      </rPr>
      <t xml:space="preserve">511 485-162 : SELECTED TOPICS IN MATHEMATICS STUDY </t>
    </r>
    <r>
      <rPr>
        <sz val="16"/>
        <color rgb="FFFF0000"/>
        <rFont val="TH Sarabun New"/>
        <charset val="134"/>
      </rPr>
      <t>(ฟ้า)</t>
    </r>
  </si>
  <si>
    <t>512 103-2562 : GENERAL BIOLOGY LABORATORY I</t>
  </si>
  <si>
    <t xml:space="preserve">  1240 ว.1</t>
  </si>
  <si>
    <t xml:space="preserve"> สิราวรรณ สาสุข , ภาณุพงษ์ ทองเปรม</t>
  </si>
  <si>
    <t xml:space="preserve"> กัมปนาท ธาราภูมิ , สุพรรณญิกา เส็งสาย , วันวิวาห์ ตุ้มน้อย , กรกช ชั้นจิรกุล , ธัญนันท์ วรรณธง บรอคเคิลเฮอร์สท์ , ศรัณยพร มากทรัพย์ , วิวิชชุตา เดชรักษา , ยศเวท สิริจามร , ชญาดา โชติศรีศุภรัตน์ , ภาณุพงษ์ ทองเปรม</t>
  </si>
  <si>
    <t>513 250-2560-165 : ORGANIC CHEMISTRY</t>
  </si>
  <si>
    <t xml:space="preserve"> กรพรรณ เศวตสุวรรณกุล , นันทนิตย์ วานิชาชีวะ , ศักดิ์ชัย เภาด้วง , ณัฐพงศ์ ยิ่งยอดกุล , จิราภรณ์ สุขนิพิฐพงษ์</t>
  </si>
  <si>
    <t xml:space="preserve"> มูฮำหมัด นิยมเดชา</t>
  </si>
  <si>
    <t xml:space="preserve"> มูฮำหมัด นิยมเดชา , นันทนิตย์ วานิชาชีวะ</t>
  </si>
  <si>
    <t>513 257-2560-165 : FUNDAMENTAL ORGANIC CHEMISTRY</t>
  </si>
  <si>
    <t xml:space="preserve"> สาวิณี ปฐมสุริยะพร , กฤช เศรษฐการ , ภัทราพร เม้ามีศรี</t>
  </si>
  <si>
    <t xml:space="preserve"> วยา พุทธวงศ์</t>
  </si>
  <si>
    <t xml:space="preserve"> วยา พุทธวงศ์ , กฤช เศรษฐการ</t>
  </si>
  <si>
    <t>L:Lab</t>
  </si>
  <si>
    <t>517 212-165 : DISCRETE COMPUTATIONAL STRUCTURES</t>
  </si>
  <si>
    <t xml:space="preserve"> สุภาภรณ์ ธรรมประทีป , ธาริณี กฤษฎาพรอนันท์ , วรันธร สอนสงวน , อดิศักดิ์ เม้ามีศรี</t>
  </si>
  <si>
    <t xml:space="preserve"> คทา ประดิษฐวงศ์</t>
  </si>
  <si>
    <t>1-9</t>
  </si>
  <si>
    <t>517 213-2560 : DISCRETE COMPUTATIONAL STRUCTURES</t>
  </si>
  <si>
    <r>
      <rPr>
        <sz val="16"/>
        <color theme="1"/>
        <rFont val="TH Sarabun New"/>
        <charset val="134"/>
      </rPr>
      <t xml:space="preserve">524 101-166 : NATURE OF SCIENCE </t>
    </r>
    <r>
      <rPr>
        <sz val="16"/>
        <color rgb="FFFF0000"/>
        <rFont val="TH Sarabun New"/>
        <charset val="134"/>
      </rPr>
      <t>(ฟ้า)</t>
    </r>
  </si>
  <si>
    <t xml:space="preserve"> วิทวัส หาญดี</t>
  </si>
  <si>
    <t>10-ส.1</t>
  </si>
  <si>
    <t xml:space="preserve"> กัมปนาท ธาราภูมิ , วิทวัส หาญดี</t>
  </si>
  <si>
    <r>
      <rPr>
        <sz val="16"/>
        <color theme="1"/>
        <rFont val="TH Sarabun New"/>
        <charset val="134"/>
      </rPr>
      <t xml:space="preserve">512 415-2560 : PLANT TISSUE AND CELL CULTURE </t>
    </r>
    <r>
      <rPr>
        <sz val="16"/>
        <color rgb="FFFF0000"/>
        <rFont val="TH Sarabun New"/>
        <charset val="134"/>
      </rPr>
      <t>(ฟ้า)</t>
    </r>
  </si>
  <si>
    <t xml:space="preserve"> กนกวรรณ เจริญกิจอมร , พันธ์วริศ บุญประจันทร์ , สรัญณัชช์ บุญเปรม</t>
  </si>
  <si>
    <t xml:space="preserve"> กุลนาถ อบสุวรรณ</t>
  </si>
  <si>
    <t>10</t>
  </si>
  <si>
    <t>9</t>
  </si>
  <si>
    <t>1</t>
  </si>
  <si>
    <t>513 291-165 : CHEMICAL SAFETY</t>
  </si>
  <si>
    <t xml:space="preserve"> กนกวรรณ เจริญกิจอมร</t>
  </si>
  <si>
    <t xml:space="preserve"> สุชารัตน์ สนองเกียรติ , กนกวรรณ เจริญกิจอมร</t>
  </si>
  <si>
    <r>
      <rPr>
        <sz val="16"/>
        <color theme="1"/>
        <rFont val="TH Sarabun New"/>
        <charset val="134"/>
      </rPr>
      <t xml:space="preserve">513 435-2560-165 : CHEMICAL ANALYSIS OF WATER </t>
    </r>
    <r>
      <rPr>
        <sz val="16"/>
        <color rgb="FFFF0000"/>
        <rFont val="TH Sarabun New"/>
        <charset val="134"/>
      </rPr>
      <t>openbook</t>
    </r>
  </si>
  <si>
    <t xml:space="preserve">  1238 ว.1</t>
  </si>
  <si>
    <t xml:space="preserve"> สุมนมาลย์ จันทร์เอี่ยม , มิรันตรี ใจแสน</t>
  </si>
  <si>
    <t xml:space="preserve"> สุมนมาลย์ จันทร์เอี่ยม</t>
  </si>
  <si>
    <t xml:space="preserve"> ณิชนันทน์ เทพศุภรังษิกุล , สุมนมาลย์ จันทร์เอี่ยม</t>
  </si>
  <si>
    <t>515 105-165 : STATISTICS FOR INFORMATION TECHNOLOGY</t>
  </si>
  <si>
    <t xml:space="preserve"> กรพรรณ เศวตสุวรรณกุล , อุดมลักษณ์ เกียรติชูพิพัฒน์</t>
  </si>
  <si>
    <t xml:space="preserve"> ดุสิต ชัยประสิทธิกุล</t>
  </si>
  <si>
    <t xml:space="preserve"> ชัยวัฒน์ ศรีสร้อยแก้ว , ดุสิต ชัยประสิทธิกุล</t>
  </si>
  <si>
    <t>515 201-59 : ELEMENTARY STATISTICS กลุ่ม 2</t>
  </si>
  <si>
    <t>ชัยวัฒน์ ศรีสร้อยแก้ว , ดุสิต ชัยประสิทธิกุล</t>
  </si>
  <si>
    <t>511 106-165 : CALCULUS FOR BIOLOGICAL SCIENTISTS I</t>
  </si>
  <si>
    <t xml:space="preserve"> วรรณรัตน์ รุ่งโรจน์ธีระ , ยุทธศักดิ์ บุญรอด , สุภาภรณ์ ธรรมประทีป , ธาริณี กฤษฎาพรอนันท์ , ศศิภา ตรงต่อมิตร , พัฏฐ์ณิชา พัฒนศิริ</t>
  </si>
  <si>
    <t xml:space="preserve"> วรรณรัตน์ รุ่งโรจน์ธีระ</t>
  </si>
  <si>
    <t>511 112-162-167 : CALCULUS FOR PHYSICAL SCIENTISTS</t>
  </si>
  <si>
    <t>511 201-162-165 : PRINCIPLES OF MATHEMATICS I</t>
  </si>
  <si>
    <t xml:space="preserve"> รัตนาวดี สระทองจิน , ชนากานต์ เทพกรณ์</t>
  </si>
  <si>
    <r>
      <rPr>
        <sz val="16"/>
        <color theme="1"/>
        <rFont val="TH Sarabun New"/>
        <charset val="134"/>
      </rPr>
      <t xml:space="preserve">512 315-165 : PLANT TAXONOMY </t>
    </r>
    <r>
      <rPr>
        <sz val="16"/>
        <color rgb="FFFF0000"/>
        <rFont val="TH Sarabun New"/>
        <charset val="134"/>
      </rPr>
      <t>(ฟ้า)</t>
    </r>
  </si>
  <si>
    <t xml:space="preserve"> ณัฐพงศ์ ยิ่งยอดกุล , จิราภรณ์ สุขนิพิฐพงษ์ , อภิญญา ธาตุสุวรรณ์</t>
  </si>
  <si>
    <t xml:space="preserve"> พิรดา สุมานนท์</t>
  </si>
  <si>
    <t>9-10</t>
  </si>
  <si>
    <t xml:space="preserve"> ยศเวท สิริจามร , ภัคพล ท้าวเวชสุวรรณ , พิรดา สุมานนท์</t>
  </si>
  <si>
    <t>517 324-2560-165 : MOBILE APPLICATION DEVELOPMENT</t>
  </si>
  <si>
    <t xml:space="preserve"> อภิญญา ธาตุสุวรรณ์</t>
  </si>
  <si>
    <t>1-8</t>
  </si>
  <si>
    <t>517 101-165 : DIGITAL LITERACY AND CITIZENSHIP</t>
  </si>
  <si>
    <t xml:space="preserve"> สานนท์ ยะหอม , วีณาวดี ม่วงอ้น , ปัญญนัท อ้นพงษ์ , อุทัย คันธะมาลา</t>
  </si>
  <si>
    <t xml:space="preserve"> วีณาวดี ม่วงอ้น</t>
  </si>
  <si>
    <t>519 241-165 : COMPUTATIONAL MATHEMATICS</t>
  </si>
  <si>
    <t xml:space="preserve">  1231 ว.1</t>
  </si>
  <si>
    <t xml:space="preserve"> สาวิณี ปฐมสุริยะพร , พัชรี สัมฤทธิ์นรพงศ์</t>
  </si>
  <si>
    <t xml:space="preserve"> พัชรี สัมฤทธิ์นรพงศ์</t>
  </si>
  <si>
    <t xml:space="preserve"> วรรณภา พนิตสุภากมล , พัชรี สัมฤทธิ์นรพงศ์</t>
  </si>
  <si>
    <r>
      <rPr>
        <sz val="16"/>
        <color theme="1"/>
        <rFont val="TH Sarabun New"/>
        <charset val="134"/>
      </rPr>
      <t xml:space="preserve">511 243-2560-162 : THEORY OF EQUATIONS </t>
    </r>
    <r>
      <rPr>
        <sz val="16"/>
        <color rgb="FFFF0000"/>
        <rFont val="TH Sarabun New"/>
        <charset val="134"/>
      </rPr>
      <t>(ฟ้า)</t>
    </r>
  </si>
  <si>
    <t xml:space="preserve"> พัฒนา คร้ามแสง , เอกพบ ขจรไพศาล , มาลินี ชัยยะ , กรัญญา สิทธิสงวน , ภัทราพร เม้ามีศรี</t>
  </si>
  <si>
    <t xml:space="preserve"> มาลินี ชัยยะ</t>
  </si>
  <si>
    <t>12-15</t>
  </si>
  <si>
    <t>520 101-2560-165 : FOUNDATION OF COMPUTER AND INFORMATICS</t>
  </si>
  <si>
    <t xml:space="preserve"> กรัญญา สิทธิสงวน</t>
  </si>
  <si>
    <t>1-11</t>
  </si>
  <si>
    <t xml:space="preserve"> เสาวลักษณ์ อร่ามพงศานุวัต , กรัญญา สิทธิสงวน</t>
  </si>
  <si>
    <r>
      <rPr>
        <sz val="16"/>
        <color theme="1"/>
        <rFont val="TH Sarabun New"/>
        <charset val="134"/>
      </rPr>
      <t xml:space="preserve">  515 511-264 : PROBABILITY AND STATISTICAL INFERENCE </t>
    </r>
    <r>
      <rPr>
        <sz val="16"/>
        <color rgb="FFFF0000"/>
        <rFont val="TH Sarabun New"/>
        <charset val="134"/>
      </rPr>
      <t>ป.โท</t>
    </r>
  </si>
  <si>
    <t>1445 ว.1</t>
  </si>
  <si>
    <t>ชนกานต์ สังข์บุญชู , สิราวรรณ สาสุข</t>
  </si>
  <si>
    <t xml:space="preserve"> ชนกานต์ สังข์บุญชู</t>
  </si>
  <si>
    <t>อ.ดร.ชนกานต์ สังข์บุญชู</t>
  </si>
  <si>
    <t>513 231-2560-165 : ANALYTICAL CHEMISTRY I</t>
  </si>
  <si>
    <t xml:space="preserve"> รัตนาวดี สระทองจิน , พัชรี สัมฤทธิ์นรพงศ์ , พันธ์วริศ บุญประจันทร์ , สรัญณัชช์ บุญเปรม , จิราภรณ์ สุขนิพิฐพงษ์ , ภัทราพร เม้ามีศรี</t>
  </si>
  <si>
    <t xml:space="preserve"> ณิชนันทน์ เทพศุภรังษิกุล , สุมนมาลย์ จันทร์เอี่ยม , ณิชนันทน์ สิรสุนทร</t>
  </si>
  <si>
    <t>513 422-2560 : PHYSICAL CHEMISTRY OF MACROMOLECULES</t>
  </si>
  <si>
    <t xml:space="preserve"> กนกวรรณ เจริญกิจอมร , ศศิภา ตรงต่อมิตร</t>
  </si>
  <si>
    <t xml:space="preserve"> ฉันทนา วัยนิพิฐพงษ์</t>
  </si>
  <si>
    <r>
      <rPr>
        <sz val="16"/>
        <color theme="1"/>
        <rFont val="TH Sarabun New"/>
        <charset val="134"/>
      </rPr>
      <t xml:space="preserve">512 416-2560 : PLANT TISSUE AND CELL CULTURE LABORATORY </t>
    </r>
    <r>
      <rPr>
        <sz val="16"/>
        <color rgb="FFFF0000"/>
        <rFont val="TH Sarabun New"/>
        <charset val="134"/>
      </rPr>
      <t>(ฟ้า)</t>
    </r>
  </si>
  <si>
    <t xml:space="preserve"> มาลินี ชัยยะ , ณัฐพงศ์ ยิ่งยอดกุล</t>
  </si>
  <si>
    <t>524 141-166 : MATHEMATICS FOR SCIENCE TEACHER</t>
  </si>
  <si>
    <t xml:space="preserve"> รุ่งรัตน์ วัดตาล</t>
  </si>
  <si>
    <t xml:space="preserve"> มนตรี เอี่ยมพนากิจ , รุ่งรัตน์ วัดตาล</t>
  </si>
  <si>
    <t>511 202-162 : PRINCIPLES OF MATHEMATICS II</t>
  </si>
  <si>
    <t xml:space="preserve"> วรรณรัตน์ รุ่งโรจน์ธีระ , ธาริณี กฤษฎาพรอนันท์</t>
  </si>
  <si>
    <t xml:space="preserve"> จิราภา ลิ้มบุพศิริพร</t>
  </si>
  <si>
    <t>515 101-165 : STATISTICAL THINKING</t>
  </si>
  <si>
    <t xml:space="preserve"> กมลชนก พานิชการ , ชัยวัฒน์ ศรีสร้อยแก้ว</t>
  </si>
  <si>
    <t xml:space="preserve"> กมลชนก พานิชการ</t>
  </si>
  <si>
    <t xml:space="preserve"> สาวิณี ปฐมสุริยะพร , กรัญญา สิทธิสงวน , มิรันตรี ใจแสน</t>
  </si>
  <si>
    <r>
      <rPr>
        <sz val="16"/>
        <color theme="1"/>
        <rFont val="TH Sarabun New"/>
        <charset val="134"/>
      </rPr>
      <t xml:space="preserve">515 105-165 : STATISTICS FOR INFORMATION TECHNOLOGY </t>
    </r>
    <r>
      <rPr>
        <sz val="16"/>
        <color rgb="FFFF0000"/>
        <rFont val="TH Sarabun New"/>
        <charset val="134"/>
      </rPr>
      <t>(ฟ้า)</t>
    </r>
  </si>
  <si>
    <t xml:space="preserve"> กรพรรณ เศวตสุวรรณกุล , สุภาภรณ์ ธรรมประทีป , สิราวรรณ สาสุข , วีณาวดี ม่วงอ้น , ชนากานต์ เทพกรณ์</t>
  </si>
  <si>
    <t>แถวคี่</t>
  </si>
  <si>
    <r>
      <rPr>
        <sz val="16"/>
        <color theme="1"/>
        <rFont val="TH Sarabun New"/>
        <charset val="134"/>
      </rPr>
      <t xml:space="preserve">515 201-59 : ELEMENTARY STATISTICS </t>
    </r>
    <r>
      <rPr>
        <sz val="16"/>
        <color rgb="FFFF0000"/>
        <rFont val="TH Sarabun New"/>
        <charset val="134"/>
      </rPr>
      <t>(ฟ้า)</t>
    </r>
  </si>
  <si>
    <t>520 231-165 : DATA ANALYTICS</t>
  </si>
  <si>
    <t xml:space="preserve"> สุนีย์ พงษ์พินิจภิญโญ</t>
  </si>
  <si>
    <t>แถวคู่</t>
  </si>
  <si>
    <t>520 215-160 : FUNDAMENTALS OF STATISTICAL MACHINE LEARNING</t>
  </si>
  <si>
    <r>
      <rPr>
        <sz val="16"/>
        <color theme="1"/>
        <rFont val="TH Sarabun New"/>
        <charset val="134"/>
      </rPr>
      <t xml:space="preserve">  515 571-264 : STATISTICAL LEARNING </t>
    </r>
    <r>
      <rPr>
        <sz val="16"/>
        <color rgb="FFFF0000"/>
        <rFont val="TH Sarabun New"/>
        <charset val="134"/>
      </rPr>
      <t>ป.โท</t>
    </r>
  </si>
  <si>
    <t>1441 ว.1</t>
  </si>
  <si>
    <t>อุดมลักษณ์ เกียรติชูพิพัฒน์ , กฤษณา จันทร์เจริญ</t>
  </si>
  <si>
    <t xml:space="preserve"> อุดมลักษณ์ เกียรติชูพิพัฒน์</t>
  </si>
  <si>
    <t>อ.ดร.อุดมลักษณ์ เกียรติชูพิพัฒน์</t>
  </si>
  <si>
    <t>515 203-165 : STATISTICS FOR BIOLOGICAL SCIENTISTS I</t>
  </si>
  <si>
    <t xml:space="preserve"> ปิยพล ไพจิตร , พัณณิ์ภาริษา ของทิพย์</t>
  </si>
  <si>
    <t xml:space="preserve"> ปิยพล ไพจิตร</t>
  </si>
  <si>
    <t>2</t>
  </si>
  <si>
    <t>520 214-165 : DIGITAL PLATFORM AND INFRASTRUCTURE</t>
  </si>
  <si>
    <t xml:space="preserve"> คทา ประดิษฐวงศ์ , ผ่องศรี เผ่าภูรี</t>
  </si>
  <si>
    <t xml:space="preserve"> คทา ประดิษฐวงศ์ , ณัฐโชติ พรหมฤทธิ์</t>
  </si>
  <si>
    <t>512 101-165 : GENERAL BIOLOGY</t>
  </si>
  <si>
    <t xml:space="preserve"> เดชา สุขมา , ณิมนาราห์ อยู่คงแก้ว , ยศเวท สิริจามร , เชาวฤทธิ์ กาบแก้ว , ศรันย์ภัทร์ สุวรรณรัตน์ , ณัฐพงศ์ ยิ่งยอดกุล</t>
  </si>
  <si>
    <t xml:space="preserve"> ยศเวท สิริจามร</t>
  </si>
  <si>
    <t xml:space="preserve"> กัมปนาท ธาราภูมิ , สุพรรณญิกา เส็งสาย , วันวิวาห์ ตุ้มน้อย , กรกช ชั้นจิรกุล , ธัญนันท์ วรรณธง บรอคเคิลเฮอร์สท์ , ศรัณยพร มากทรัพย์ , อดิศรี เจริญพานิช , ณิมนาราห์ อยู่คงแก้ว , ยศเวท สิริจามร , ปรารถนา เผือกวิไล , สุธาทิพย์ อำนวยสิน , ชญาดา โชติศรีศุภรัต</t>
  </si>
  <si>
    <t xml:space="preserve"> กุลนาถ อบสุวรรณ , ธนาพร ชื่นอิ่ม , ศักดิ์ชัย เภาด้วง , ภัคพล ท้าวเวชสุวรรณ , พรวิภา พวงบุบผา</t>
  </si>
  <si>
    <t xml:space="preserve"> กัมปนาท ธาราภูมิ , วันวิวาห์ ตุ้มน้อย , ธัญนันท์ วรรณธง บรอคเคิลเฮอร์สท์ , สิริพร บริรักวิสิฐศักดิ์</t>
  </si>
  <si>
    <t>512 108-165 : BIOLOGY FOR APPLIED SCIENCE</t>
  </si>
  <si>
    <t xml:space="preserve"> ดาวรุ่ง สังข์ทอง , ปรารถนา เผือกวิไล , อุมารัจน์ สันติสุขเกษม , สุธาทิพย์ อำนวยสิน</t>
  </si>
  <si>
    <r>
      <rPr>
        <sz val="16"/>
        <color theme="1"/>
        <rFont val="TH Sarabun New"/>
        <charset val="134"/>
      </rPr>
      <t xml:space="preserve">516 331-165 : AIR QUALITY ANALYSIS </t>
    </r>
    <r>
      <rPr>
        <sz val="16"/>
        <color rgb="FFFF0000"/>
        <rFont val="TH Sarabun New"/>
        <charset val="134"/>
      </rPr>
      <t>(ฟ้า)</t>
    </r>
  </si>
  <si>
    <t>อังก์ศิริ ทิพยารมณ์</t>
  </si>
  <si>
    <t>11-14</t>
  </si>
  <si>
    <t xml:space="preserve"> ดิเรกฤทธิ์ บัวเวช , รัฐพล อ้นแฉ่ง , อังก์ศิริ ทิพยารมณ์</t>
  </si>
  <si>
    <t xml:space="preserve"> วราภรณ์ เจียนระลึก , พิรดา สุมานนท์</t>
  </si>
  <si>
    <t xml:space="preserve"> วิภาวรรณ เล้าอรุณ</t>
  </si>
  <si>
    <t xml:space="preserve"> กรทิพย์ โต๊ะสิงห์ , นงนุช กำลังแพทย์</t>
  </si>
  <si>
    <r>
      <rPr>
        <sz val="16"/>
        <color theme="1"/>
        <rFont val="TH Sarabun New"/>
        <charset val="134"/>
      </rPr>
      <t xml:space="preserve">515 211-2560 : STATISTICAL INFERENCE I </t>
    </r>
    <r>
      <rPr>
        <sz val="16"/>
        <color rgb="FFFF0000"/>
        <rFont val="TH Sarabun New"/>
        <charset val="134"/>
      </rPr>
      <t>(ฟ้า)</t>
    </r>
  </si>
  <si>
    <t xml:space="preserve"> ศศิประภา หิริโอตป์</t>
  </si>
  <si>
    <t>515 273-165 : STATISTICS FOR DATA SCIENCE</t>
  </si>
  <si>
    <t xml:space="preserve"> กรรณิกาณ์ หิรัญกสิ , ชัยวัฒน์ ศรีสร้อยแก้ว</t>
  </si>
  <si>
    <t xml:space="preserve"> กรรณิกาณ์ หิรัญกสิ</t>
  </si>
  <si>
    <t>517 111-165 : COMPUTER PROGRAMMING FOR DATA SCIENTISTS</t>
  </si>
  <si>
    <t xml:space="preserve"> บดินทร์ ดำรงศักดิ์ , ปิยาภา จันทร์มล</t>
  </si>
  <si>
    <t xml:space="preserve"> โอภาส วงษ์ทวีทรัพย์</t>
  </si>
  <si>
    <t>517 123-2561 : COMPUTER PROGRAMMING FOR DATA SCIENTISTS</t>
  </si>
  <si>
    <t>520 331-2560 : ARTFICIAL INTELLIGENCE FOR INFORMATION TECHNOLOGY</t>
  </si>
  <si>
    <t xml:space="preserve"> อภิเษก หงษ์วิทยากร , วิรัญญา สุทัศนวิชานนะ</t>
  </si>
  <si>
    <t xml:space="preserve"> ณัฐโชติ พรหมฤทธิ์</t>
  </si>
  <si>
    <t>520 331-2560-165 : ARTFICIAL INTELLIGENCE FOR INFORMATION TECHNOLOGY</t>
  </si>
  <si>
    <t xml:space="preserve">  1239 ว.1</t>
  </si>
  <si>
    <t xml:space="preserve"> ณัชปภา สงวนวงศ์ , ชวรัตน์ ศิริวงษ์</t>
  </si>
  <si>
    <r>
      <rPr>
        <sz val="16"/>
        <color theme="1"/>
        <rFont val="TH Sarabun New"/>
        <charset val="134"/>
      </rPr>
      <t xml:space="preserve">514 202-165 : ELECTRONICS </t>
    </r>
    <r>
      <rPr>
        <sz val="16"/>
        <color rgb="FFFF0000"/>
        <rFont val="TH Sarabun New"/>
        <charset val="134"/>
      </rPr>
      <t>(ส้ม)</t>
    </r>
  </si>
  <si>
    <t xml:space="preserve"> สินีนุช สุวรรณาภิชาติ , บุญลักษณ์ นามนวน , ปัญญนัท อ้นพงษ์ , พันธ์วริศ บุญประจันทร์ , สรัญณัชช์ บุญเปรม</t>
  </si>
  <si>
    <t xml:space="preserve"> บดินทร์ ดำรงศักดิ์</t>
  </si>
  <si>
    <t>22</t>
  </si>
  <si>
    <t xml:space="preserve"> บดินทร์ ดำรงศักดิ์ , อิสระ มะศิริ</t>
  </si>
  <si>
    <t>517 121-2560-165 : COMPUTER PROGRAMMING SKILL I</t>
  </si>
  <si>
    <t xml:space="preserve"> ปัญญนัท อ้นพงษ์</t>
  </si>
  <si>
    <t>1-21</t>
  </si>
  <si>
    <t xml:space="preserve"> อาจารย์พิเศษ  , ปัญญนัท อ้นพงษ์</t>
  </si>
  <si>
    <r>
      <rPr>
        <sz val="16"/>
        <color theme="1"/>
        <rFont val="TH Sarabun New"/>
        <charset val="134"/>
      </rPr>
      <t xml:space="preserve">519 451-2560 : FINITE DIFFERENCE METHODS AND APPLICATIONS </t>
    </r>
    <r>
      <rPr>
        <sz val="16"/>
        <color rgb="FFFF0000"/>
        <rFont val="TH Sarabun New"/>
        <charset val="134"/>
      </rPr>
      <t>(ฟ้า)</t>
    </r>
  </si>
  <si>
    <t xml:space="preserve"> พรทรัพย์ พรสวัสดิ์</t>
  </si>
  <si>
    <t>23-24</t>
  </si>
  <si>
    <t xml:space="preserve"> พรทรัพย์ พรสวัสดิ์ , สิทธิเศรษฐ์ พลเวียง</t>
  </si>
  <si>
    <t>517 331-160 : ARTIFICIAL INTELLIGENCE</t>
  </si>
  <si>
    <t>518 201-165 : BACTERIOLOGY</t>
  </si>
  <si>
    <t xml:space="preserve"> กนก หวลกำเนิด , พชรพล อินทุเวศ</t>
  </si>
  <si>
    <t xml:space="preserve"> อุรารักษ์ ร่มรื่น</t>
  </si>
  <si>
    <t xml:space="preserve"> ทักษวัน ทองอร่าม , อุรารักษ์ ร่มรื่น , กิตติมา ไวไธสง , อรวรรณ บริรักษ์</t>
  </si>
  <si>
    <t xml:space="preserve">  1227/1 ว.1</t>
  </si>
  <si>
    <t xml:space="preserve"> สานนท์ ยะหอม , อุทัย คันธะมาลา</t>
  </si>
  <si>
    <t xml:space="preserve"> ทัศนวรรณ ศูนย์กลาง , กรพรรณ เศวตสุวรรณกุล , สุนีย์ พงษ์พินิจภิญโญ</t>
  </si>
  <si>
    <t>522 363-2561-165 : UNSUPERVISED MACHINE LEARNING</t>
  </si>
  <si>
    <t xml:space="preserve"> รัชดาพร คณาวงษ์ , เสาวลักษณ์ อร่ามพงศานุวัต</t>
  </si>
  <si>
    <t xml:space="preserve"> รัชดาพร คณาวงษ์</t>
  </si>
  <si>
    <t xml:space="preserve"> รัชดาพร คณาวงษ์ , ปัญญนัท อ้นพงษ์</t>
  </si>
  <si>
    <t>511 110-2561-165 : CALCULUS FOR DATA SCIENTISTS I</t>
  </si>
  <si>
    <t xml:space="preserve"> คทา ประดิษฐวงศ์ , ดาวรุ่ง สังข์ทอง , ผ่องศรี เผ่าภูรี , กลศ พัฒนะรพีเลิศ , วิรัญญา สุทัศนวิชานนะ , สรัญณัชช์ บุญเปรม</t>
  </si>
  <si>
    <t xml:space="preserve"> สืบสกุล อยู่ยืนยง</t>
  </si>
  <si>
    <t>1-7</t>
  </si>
  <si>
    <r>
      <rPr>
        <sz val="16"/>
        <color theme="1"/>
        <rFont val="TH Sarabun New"/>
        <charset val="134"/>
      </rPr>
      <t xml:space="preserve">517 311-2560-165 : ALGORITHM ANALYSIS AND DESIGN </t>
    </r>
    <r>
      <rPr>
        <sz val="16"/>
        <color rgb="FFFF0000"/>
        <rFont val="TH Sarabun New"/>
        <charset val="134"/>
      </rPr>
      <t>(ฟ้า)</t>
    </r>
  </si>
  <si>
    <t>8-12</t>
  </si>
  <si>
    <r>
      <rPr>
        <sz val="16"/>
        <color theme="1"/>
        <rFont val="TH Sarabun New"/>
        <charset val="134"/>
      </rPr>
      <t xml:space="preserve">520 321-2560-165 : DATABASE SYSTEM ADMINISTRATION </t>
    </r>
    <r>
      <rPr>
        <sz val="16"/>
        <color rgb="FFFF0000"/>
        <rFont val="TH Sarabun New"/>
        <charset val="134"/>
      </rPr>
      <t>(ส้ม)</t>
    </r>
  </si>
  <si>
    <t>13-16</t>
  </si>
  <si>
    <r>
      <rPr>
        <sz val="16"/>
        <color theme="1"/>
        <rFont val="TH Sarabun New"/>
        <charset val="134"/>
      </rPr>
      <t xml:space="preserve">511 221-2560-165 : DIFFERENTIAL EQUATIONS </t>
    </r>
    <r>
      <rPr>
        <sz val="16"/>
        <color rgb="FFFF0000"/>
        <rFont val="TH Sarabun New"/>
        <charset val="134"/>
      </rPr>
      <t>(ฟ้า)</t>
    </r>
  </si>
  <si>
    <t xml:space="preserve"> กัมปนาท ธาราภูมิ , วรกฤษณ์ ศุภพร</t>
  </si>
  <si>
    <t>512 235-2560-165 : VERTEBRATE ZOOLOGY</t>
  </si>
  <si>
    <t xml:space="preserve"> กัมปนาท ธาราภูมิ</t>
  </si>
  <si>
    <t xml:space="preserve"> กัมปนาท ธาราภูมิ , วันวิวาห์ ตุ้มน้อย , ศรันย์ภัทร์ สุวรรณรัตน์</t>
  </si>
  <si>
    <t>512 102-165 : GENERAL BIOLOGY LABORATORY</t>
  </si>
  <si>
    <t xml:space="preserve"> สิราวรรณ สาสุข , วิวิชชุตา เดชรักษา , สุธาทิพย์ อำนวยสิน , พรวิภา พวงบุบผา , พันธ์วริศ บุญประจันทร์</t>
  </si>
  <si>
    <t xml:space="preserve"> กัมปนาท ธาราภูมิ , กุลนาถ อบสุวรรณ , สุพรรณญิกา เส็งสาย , วันวิวาห์ ตุ้มน้อย , กรกช ชั้นจิรกุล , ธัญนันท์ วรรณธง บรอคเคิลเฮอร์สท์ , ศรัณยพร มากทรัพย์ , วิวิชชุตา เดชรักษา , อดิศรี เจริญพานิช , ณิมนาราห์ อยู่คงแก้ว , ยศเวท สิริจามร , ปรารถนา เผือกวิไล , ศ</t>
  </si>
  <si>
    <t xml:space="preserve"> นงนุช กำลังแพทย์ , ธัญนันท์ วรรณธง บรอคเคิลเฮอร์สท์ , ศรันย์ภัทร์ สุวรรณรัตน์ , ชลกรานต์ อวยจินดา</t>
  </si>
  <si>
    <t xml:space="preserve"> กุลนาถ อบสุวรรณ , พลเสรส์ รมอิสรส , ปรารถนา เผือกวิไล</t>
  </si>
  <si>
    <t xml:space="preserve"> ภัคพล ท้าวเวชสุวรรณ , ณัฐพงศ์ ยิ่งยอดกุล , พิรดา สุมานนท์</t>
  </si>
  <si>
    <t>513 331-2560 : ANALYTICAL CHEMISTRY III</t>
  </si>
  <si>
    <t xml:space="preserve"> ศิริรัตน์ ชูสกุลเกรียง , เชาวฤทธิ์ กาบแก้ว , บุญลักษณ์ นามนวน</t>
  </si>
  <si>
    <t xml:space="preserve"> ศิริรัตน์ ชูสกุลเกรียง</t>
  </si>
  <si>
    <t xml:space="preserve"> วราพร ภาราดามิตร , ศิริรัตน์ ชูสกุลเกรียง , กนกวรรณ เจริญกิจอมร</t>
  </si>
  <si>
    <t>513 331-165 : ELECTROCHEMISTRY AND SEPARATION TECHNIQUES IN ANALYTICAL CHEMISTRY</t>
  </si>
  <si>
    <t xml:space="preserve"> เดชา สุขมา , ปิยพล ไพจิตร</t>
  </si>
  <si>
    <r>
      <rPr>
        <sz val="16"/>
        <color theme="1"/>
        <rFont val="TH Sarabun New"/>
        <charset val="134"/>
      </rPr>
      <t xml:space="preserve">515 273-165 : STATISTICS FOR DATA SCIENCE </t>
    </r>
    <r>
      <rPr>
        <sz val="16"/>
        <color rgb="FFFF0000"/>
        <rFont val="TH Sarabun New"/>
        <charset val="134"/>
      </rPr>
      <t>openbook</t>
    </r>
  </si>
  <si>
    <t xml:space="preserve"> ปรีชญา สัญญฑิตย์ , ดุสิต ชัยประสิทธิกุล</t>
  </si>
  <si>
    <r>
      <rPr>
        <sz val="16"/>
        <color theme="1"/>
        <rFont val="TH Sarabun New"/>
        <charset val="134"/>
      </rPr>
      <t xml:space="preserve">516 420-2560 : ENVIRONMENTAL TOXICOLOGY </t>
    </r>
    <r>
      <rPr>
        <sz val="16"/>
        <color rgb="FFFF0000"/>
        <rFont val="TH Sarabun New"/>
        <charset val="134"/>
      </rPr>
      <t>openbook</t>
    </r>
  </si>
  <si>
    <t xml:space="preserve">  1241 ว.1</t>
  </si>
  <si>
    <t xml:space="preserve"> กนก หวลกำเนิด , อุมารัจน์ สันติสุขเกษม</t>
  </si>
  <si>
    <t xml:space="preserve"> อุมารัจน์ สันติสุขเกษม</t>
  </si>
  <si>
    <t>518 202-165 : BACTERIOLOGY LABORATORY</t>
  </si>
  <si>
    <t xml:space="preserve"> ธนาพร ชื่นอิ่ม , ณิมนาราห์ อยู่คงแก้ว</t>
  </si>
  <si>
    <t xml:space="preserve">  อุรารักษ์ ร่มรื่น</t>
  </si>
  <si>
    <t xml:space="preserve"> วราภรณ์ เจียนระลึก , ชวรัตน์ ศิริวงษ์</t>
  </si>
  <si>
    <r>
      <rPr>
        <sz val="16"/>
        <color theme="1"/>
        <rFont val="TH Sarabun New"/>
        <charset val="134"/>
      </rPr>
      <t xml:space="preserve">514 301-165 : WAVES AND VIBRATIONS </t>
    </r>
    <r>
      <rPr>
        <sz val="16"/>
        <color rgb="FFFF0000"/>
        <rFont val="TH Sarabun New"/>
        <charset val="134"/>
      </rPr>
      <t>(ฟ้า)</t>
    </r>
  </si>
  <si>
    <t xml:space="preserve"> ชวรัตน์ ศิริวงษ์</t>
  </si>
  <si>
    <t xml:space="preserve"> ชวรัตน์ ศิริวงษ์ , สุภัคชัย พงศ์เลิศสกุล</t>
  </si>
  <si>
    <t xml:space="preserve"> รัชดาพร คณาวงษ์ , บดินทร์ ดำรงศักดิ์</t>
  </si>
  <si>
    <t>13:00 - 17:00</t>
  </si>
  <si>
    <t xml:space="preserve"> สานนท์ ยะหอม , ปัญญนัท อ้นพงษ์</t>
  </si>
  <si>
    <t>517 121-165 : COMPUTER PROGRAMMING SKILL I</t>
  </si>
  <si>
    <t xml:space="preserve">  1227/2 ว.1</t>
  </si>
  <si>
    <t xml:space="preserve"> ทัศนวรรณ ศูนย์กลาง , กรพรรณ เศวตสุวรรณกุล , อุทัย คันธะมาลา</t>
  </si>
  <si>
    <t xml:space="preserve"> สิรักข์ แก้วจำนงค์</t>
  </si>
  <si>
    <t xml:space="preserve"> สิรักข์ แก้วจำนงค์ , ธนากร ปริญญาศาสตร์</t>
  </si>
  <si>
    <t xml:space="preserve"> เสาวลักษณ์ อร่ามพงศานุวัต , ชัยวัฒน์ ศรีสร้อยแก้ว</t>
  </si>
  <si>
    <t xml:space="preserve"> สุนีย์ พงษ์พินิจภิญโญ , พัณณิ์ภาริษา ของทิพย์</t>
  </si>
  <si>
    <t>511 200-165 : ENGLISH FOR MATHEMATICS I</t>
  </si>
  <si>
    <t xml:space="preserve"> วันวิวาห์ ตุ้มน้อย , ประพันธ์พงศ์ พงศ์ศรีเอี่ยม</t>
  </si>
  <si>
    <t>3</t>
  </si>
  <si>
    <r>
      <rPr>
        <sz val="16"/>
        <color theme="1"/>
        <rFont val="TH Sarabun New"/>
        <charset val="134"/>
      </rPr>
      <t xml:space="preserve">512 462-2560 : CYTOGENETICS </t>
    </r>
    <r>
      <rPr>
        <sz val="16"/>
        <color rgb="FFFF0000"/>
        <rFont val="TH Sarabun New"/>
        <charset val="134"/>
      </rPr>
      <t>(ส้ม)</t>
    </r>
  </si>
  <si>
    <t xml:space="preserve"> สุพรรณญิกา เส็งสาย</t>
  </si>
  <si>
    <t xml:space="preserve"> สุพรรณญิกา เส็งสาย , ปรารถนา เผือกวิไล</t>
  </si>
  <si>
    <r>
      <rPr>
        <sz val="16"/>
        <color theme="1"/>
        <rFont val="TH Sarabun New"/>
        <charset val="134"/>
      </rPr>
      <t xml:space="preserve">513 441-2560 : BIOCHEMISTRY II </t>
    </r>
    <r>
      <rPr>
        <sz val="16"/>
        <color rgb="FFFF0000"/>
        <rFont val="TH Sarabun New"/>
        <charset val="134"/>
      </rPr>
      <t>(ฟ้า)</t>
    </r>
  </si>
  <si>
    <t xml:space="preserve"> สุชารัตน์ สนองเกียรติ , ชนากานต์ ทองสุข , ธนพล เจริญวงษ์ไพบูลย์</t>
  </si>
  <si>
    <r>
      <rPr>
        <sz val="16"/>
        <color theme="1"/>
        <rFont val="TH Sarabun New"/>
        <charset val="134"/>
      </rPr>
      <t xml:space="preserve">511 151-165 : PROBLEM SOLVING SKILLS DEVELOPMENT THROUGH MATHEMATICAL GAMES </t>
    </r>
    <r>
      <rPr>
        <sz val="16"/>
        <color rgb="FFFF0000"/>
        <rFont val="TH Sarabun New"/>
        <charset val="134"/>
      </rPr>
      <t>(ฟ้า)</t>
    </r>
  </si>
  <si>
    <t xml:space="preserve"> วยา พุทธวงศ์ , กลศ พัฒนะรพีเลิศ</t>
  </si>
  <si>
    <t xml:space="preserve"> เฉลิมพงศ์ วรวรรโณทัย</t>
  </si>
  <si>
    <t>513 354-2560 : SPECTROSCOPY IN ORGANIC CHEMISTRY</t>
  </si>
  <si>
    <t xml:space="preserve"> วยา พุทธวงศ์ , พัลลภ คันธิยงค์ , กฤช เศรษฐการ</t>
  </si>
  <si>
    <r>
      <rPr>
        <sz val="16"/>
        <color theme="1"/>
        <rFont val="TH Sarabun New"/>
        <charset val="134"/>
      </rPr>
      <t xml:space="preserve">511 206-2560 : ENGINEERING MATHEMATICS </t>
    </r>
    <r>
      <rPr>
        <sz val="16"/>
        <color rgb="FFFF0000"/>
        <rFont val="TH Sarabun New"/>
        <charset val="134"/>
      </rPr>
      <t>(ฟ้า)</t>
    </r>
  </si>
  <si>
    <t xml:space="preserve"> ภาสวรรณ นพแก้ว , ธนากร ปริญญาศาสตร์</t>
  </si>
  <si>
    <t xml:space="preserve"> สมพงค์ จิตต์มั่น</t>
  </si>
  <si>
    <r>
      <rPr>
        <sz val="16"/>
        <color theme="1"/>
        <rFont val="TH Sarabun New"/>
        <charset val="134"/>
      </rPr>
      <t xml:space="preserve">511 282-55 : ENGINEERING MATHEMATICS </t>
    </r>
    <r>
      <rPr>
        <sz val="16"/>
        <color rgb="FFFF0000"/>
        <rFont val="TH Sarabun New"/>
        <charset val="134"/>
      </rPr>
      <t>(ฟ้า)</t>
    </r>
  </si>
  <si>
    <t>511 244-2561-165 : LINEAR ALGEBRA FOR DATA SCIENTISTS</t>
  </si>
  <si>
    <t xml:space="preserve"> ธนากร ปริญญาศาสตร์</t>
  </si>
  <si>
    <r>
      <rPr>
        <sz val="16"/>
        <color theme="1"/>
        <rFont val="TH Sarabun New"/>
        <charset val="134"/>
      </rPr>
      <t xml:space="preserve">515 261-2560-165 : STATISTICAL PROGRAMMING </t>
    </r>
    <r>
      <rPr>
        <sz val="16"/>
        <color rgb="FFFF0000"/>
        <rFont val="TH Sarabun New"/>
        <charset val="134"/>
      </rPr>
      <t>openbook</t>
    </r>
  </si>
  <si>
    <t xml:space="preserve"> กุลนาถ อบสุวรรณ , กรรณิกาณ์ หิรัญกสิ</t>
  </si>
  <si>
    <t>515 321-165 : EXPERIMENTAL DESIGN AND ANALYSIS</t>
  </si>
  <si>
    <t>518 210-165 : APPLIED BACTERIOLOGY</t>
  </si>
  <si>
    <t xml:space="preserve"> พรทิพย์ ศรีแดง , กิตติมา ไวไธสง</t>
  </si>
  <si>
    <t xml:space="preserve"> กิตติมา ไวไธสง</t>
  </si>
  <si>
    <t xml:space="preserve"> ทักษวัน ทองอร่าม , อุรารักษ์ ร่มรื่น , กิตติมา ไวไธสง , อรวรรณ บริรักษ์ , ปิยาภรณ์ จิรวัชรเดช</t>
  </si>
  <si>
    <t>518 301-165 : IMMUNOLOGY</t>
  </si>
  <si>
    <t xml:space="preserve"> สุจินันท์ มีไล้ , พจนา อินทะเตชะ , วรัญญู พูลสวัสดิ์ , ธนาพร ชื่นอิ่ม</t>
  </si>
  <si>
    <t xml:space="preserve"> ธงชัย เตโชวิศาล</t>
  </si>
  <si>
    <t>518 305-2560 : IMMUNOLOGY</t>
  </si>
  <si>
    <t>520 341-2560 : INTERNET AND WORLD WIDE WEB TECHNOLOGY AND PROGRAMMING</t>
  </si>
  <si>
    <t xml:space="preserve"> เสฐลัทธ์ รอดเหตุภัย</t>
  </si>
  <si>
    <t>517 312-2560-165 : OPERATING SYSTEMS</t>
  </si>
  <si>
    <t xml:space="preserve"> คทา ประดิษฐวงศ์ , นีลวรรณ พงศ์ศิลป์ , ปิยาภา จันทร์มล , นัฐธพล ยอดศิลป์</t>
  </si>
  <si>
    <r>
      <rPr>
        <sz val="16"/>
        <color theme="1"/>
        <rFont val="TH Sarabun New"/>
        <charset val="134"/>
      </rPr>
      <t xml:space="preserve">524 271-166 : FOUNDATION OF COMPUTER AND INFORMATICS </t>
    </r>
    <r>
      <rPr>
        <sz val="16"/>
        <color rgb="FFFF0000"/>
        <rFont val="TH Sarabun New"/>
        <charset val="134"/>
      </rPr>
      <t>(ฟ้า)</t>
    </r>
  </si>
  <si>
    <t>11-ส.1</t>
  </si>
  <si>
    <t xml:space="preserve"> ทัศนวรรณ ศูนย์กลาง , รัชดาพร คณาวงษ์ , สิรักข์ แก้วจำนงค์ , สุนีย์ พงษ์พินิจภิญโญ , เสาวลักษณ์ อร่ามพงศานุวัต , อรวรรณ เชาวลิต , กรัญญา สิทธิสงวน , ปัญญนัท อ้นพงษ์ , ภูริวัจน์ วรวิชัยพัฒน์ , อภิญญา ธาตุสุวรรณ์</t>
  </si>
  <si>
    <t>518 102-165 : GENERAL MICROBIOLOGY LABORATORY</t>
  </si>
  <si>
    <t xml:space="preserve"> วยา พุทธวงศ์ , วันวิวาห์ ตุ้มน้อย , พรทิพย์ ศรีแดง , ทักษวัน ทองอร่าม , ปิยาภรณ์ จิรวัชรเดช</t>
  </si>
  <si>
    <t xml:space="preserve"> อรวรรณ บริรักษ์</t>
  </si>
  <si>
    <t xml:space="preserve"> ธงชัย เตโชวิศาล , สุจินันท์ มีไล้ , เอกพันธ์ บางยี่ขัน , วรัญญู พูลสวัสดิ์ , นีลวรรณ พงศ์ศิลป์ , ธนาพร ชื่นอิ่ม , ทักษวัน ทองอร่าม , อุรารักษ์ ร่มรื่น , กิตติมา ไวไธสง , อรวรรณ บริรักษ์ , ปิยาภรณ์ จิรวัชรเดช</t>
  </si>
  <si>
    <r>
      <rPr>
        <sz val="16"/>
        <color theme="1"/>
        <rFont val="TH Sarabun New"/>
        <charset val="134"/>
      </rPr>
      <t xml:space="preserve">523 301-165 : QUALITY MANAGEMENT SYSTEM IN INDUSTRY </t>
    </r>
    <r>
      <rPr>
        <sz val="16"/>
        <color rgb="FFFF0000"/>
        <rFont val="TH Sarabun New"/>
        <charset val="134"/>
      </rPr>
      <t>(ฟ้า)</t>
    </r>
  </si>
  <si>
    <t>12</t>
  </si>
  <si>
    <t xml:space="preserve"> อาจารย์พิเศษ  , สุชารัตน์ สนองเกียรติ</t>
  </si>
  <si>
    <t>511 204-165 : MATHEMATICS FOR CHEMISTS</t>
  </si>
  <si>
    <t xml:space="preserve"> กรทิพย์ โต๊ะสิงห์ , สมพงค์ จิตต์มั่น , ปิยาภา จันทร์มล</t>
  </si>
  <si>
    <r>
      <rPr>
        <sz val="16"/>
        <color theme="1"/>
        <rFont val="TH Sarabun New"/>
        <charset val="134"/>
      </rPr>
      <t xml:space="preserve">514 441-2560 : RENEWABLE  ENERGY </t>
    </r>
    <r>
      <rPr>
        <sz val="16"/>
        <color rgb="FFFF0000"/>
        <rFont val="TH Sarabun New"/>
        <charset val="134"/>
      </rPr>
      <t>(ฟ้า)</t>
    </r>
  </si>
  <si>
    <t xml:space="preserve"> กรทิพย์ โต๊ะสิงห์</t>
  </si>
  <si>
    <t xml:space="preserve"> กรทิพย์ โต๊ะสิงห์ , อรวรรณ์ อัมพร</t>
  </si>
  <si>
    <t>515 231-2560 : PROBABILITY</t>
  </si>
  <si>
    <t xml:space="preserve"> พจนา อินทะเตชะ , กิตติมา ไวไธสง , พรวิภา พวงบุบผา</t>
  </si>
  <si>
    <t>515 232-2560-165 : PROBABILITY FOR COMPUTER SCIENTIST</t>
  </si>
  <si>
    <r>
      <rPr>
        <sz val="16"/>
        <color theme="1"/>
        <rFont val="TH Sarabun New"/>
        <charset val="134"/>
      </rPr>
      <t xml:space="preserve">515 261-2560 : STATISTICAL PROGRAMMING </t>
    </r>
    <r>
      <rPr>
        <sz val="16"/>
        <color rgb="FFFF0000"/>
        <rFont val="TH Sarabun New"/>
        <charset val="134"/>
      </rPr>
      <t>openbook</t>
    </r>
  </si>
  <si>
    <r>
      <rPr>
        <sz val="16"/>
        <color theme="1"/>
        <rFont val="TH Sarabun New"/>
        <charset val="134"/>
      </rPr>
      <t>516 311-2560 : HAZARDOUS WASTE MANAGEMENT</t>
    </r>
    <r>
      <rPr>
        <sz val="16"/>
        <color rgb="FFFF0000"/>
        <rFont val="TH Sarabun New"/>
        <charset val="134"/>
      </rPr>
      <t xml:space="preserve"> openbook</t>
    </r>
  </si>
  <si>
    <t xml:space="preserve"> มัลลิกา ปัญญาคะโป , สาวิณี ปฐมสุริยะพร</t>
  </si>
  <si>
    <t xml:space="preserve"> มัลลิกา ปัญญาคะโป</t>
  </si>
  <si>
    <t>518 302-165 : IMMUNOLOGY LABORATORY</t>
  </si>
  <si>
    <t xml:space="preserve"> นีลวรรณ พงศ์ศิลป์ , กลศ พัฒนะรพีเลิศ , ประพันธ์พงศ์ พงศ์ศรีเอี่ยม</t>
  </si>
  <si>
    <t>518 306-2560 : IMMUNOLOGY LABORATORY</t>
  </si>
  <si>
    <r>
      <rPr>
        <sz val="16"/>
        <color theme="1"/>
        <rFont val="TH Sarabun New"/>
        <charset val="134"/>
      </rPr>
      <t xml:space="preserve">519 362-2560 : INTRODUCTION TO FINANCIAL MATHEMATICS </t>
    </r>
    <r>
      <rPr>
        <sz val="16"/>
        <color rgb="FFFF0000"/>
        <rFont val="TH Sarabun New"/>
        <charset val="134"/>
      </rPr>
      <t>(ฟ้า)</t>
    </r>
  </si>
  <si>
    <t xml:space="preserve"> กลศ พัฒนะรพีเลิศ</t>
  </si>
  <si>
    <t>11-13</t>
  </si>
  <si>
    <r>
      <rPr>
        <sz val="16"/>
        <color theme="1"/>
        <rFont val="TH Sarabun New"/>
        <charset val="134"/>
      </rPr>
      <t xml:space="preserve">519 362-165 : MATHEMATICS FOR FINANCE </t>
    </r>
    <r>
      <rPr>
        <sz val="16"/>
        <color rgb="FFFF0000"/>
        <rFont val="TH Sarabun New"/>
        <charset val="134"/>
      </rPr>
      <t>(ฟ้า)</t>
    </r>
  </si>
  <si>
    <t>513 415-2560 : NANOMATERIALS</t>
  </si>
  <si>
    <t xml:space="preserve"> ชีวิตา สุวรรณชวลิต , ชวรัตน์ ศิริวงษ์</t>
  </si>
  <si>
    <t xml:space="preserve"> ชีวิตา สุวรรณชวลิต</t>
  </si>
  <si>
    <t>4</t>
  </si>
  <si>
    <t>511 241-2560-165 : LINEAR ALGEBRA I</t>
  </si>
  <si>
    <t xml:space="preserve"> วรกฤษณ์ ศุภพร , สัจจาภรณ์ ไวจรรยา</t>
  </si>
  <si>
    <t xml:space="preserve"> ทิวดี มุสันเทียะ</t>
  </si>
  <si>
    <t>511 242-2560 : LINEAR ALGEBRA WITH APPLICATIONS</t>
  </si>
  <si>
    <t>514 101-55-2560-165 : GENERAL PHYSICS I</t>
  </si>
  <si>
    <t xml:space="preserve"> กนกอร ระย้านิล , สุมามาลย์ บรรเทิง , มนตรี เอี่ยมพนากิจ , รุ่งรัตน์ วัดตาล , กิตติมา ไวไธสง , สุธินี เกิดเทพ</t>
  </si>
  <si>
    <t xml:space="preserve"> อรทัย เขียวพุ่ม</t>
  </si>
  <si>
    <t xml:space="preserve"> สุมามาลย์ บรรเทิง , อรทัย เขียวพุ่ม , อรอนงค์ แช่มเล็ก , บุญลักษณ์ นามนวน</t>
  </si>
  <si>
    <t>514 101-165 : GENERAL PHYSICS I</t>
  </si>
  <si>
    <t xml:space="preserve"> กรทิพย์ โต๊ะสิงห์ , วรัญญู พูลสวัสดิ์ , อรทัย เขียวพุ่ม , นีลวรรณ พงศ์ศิลป์ , บดินทร์ ดำรงศักดิ์</t>
  </si>
  <si>
    <r>
      <rPr>
        <sz val="16"/>
        <color theme="1"/>
        <rFont val="TH Sarabun New"/>
        <charset val="134"/>
      </rPr>
      <t xml:space="preserve">515 222-2560 : APPLIED NONPARAMETRIC STATISTICS </t>
    </r>
    <r>
      <rPr>
        <sz val="16"/>
        <color rgb="FFFF0000"/>
        <rFont val="TH Sarabun New"/>
        <charset val="134"/>
      </rPr>
      <t>openbook</t>
    </r>
  </si>
  <si>
    <r>
      <rPr>
        <sz val="16"/>
        <color theme="1"/>
        <rFont val="TH Sarabun New"/>
        <charset val="134"/>
      </rPr>
      <t xml:space="preserve">516 336-2560 : NOISE POLLUTION AND VIBRATION </t>
    </r>
    <r>
      <rPr>
        <sz val="16"/>
        <color rgb="FFFF0000"/>
        <rFont val="TH Sarabun New"/>
        <charset val="134"/>
      </rPr>
      <t>(ฟ้า)</t>
    </r>
  </si>
  <si>
    <t xml:space="preserve"> รัฐพล อ้นแฉ่ง , ณัฐโชติ พรหมฤทธิ์ , ทักษวัน ทองอร่าม</t>
  </si>
  <si>
    <t xml:space="preserve"> รัฐพล อ้นแฉ่ง</t>
  </si>
  <si>
    <t>518 401-2560 : INTRODUCTION TO BIOINFORMATICS</t>
  </si>
  <si>
    <t xml:space="preserve"> ธงชัย เตโชวิศาล , กรพรรณ เศวตสุวรรณกุล , สาวิณี ปฐมสุริยะพร , ปิยาภรณ์ จิรวัชรเดช</t>
  </si>
  <si>
    <t xml:space="preserve"> ธงชัย เตโชวิศาล , นีลวรรณ พงศ์ศิลป์ , ปิยาภรณ์ จิรวัชรเดช</t>
  </si>
  <si>
    <t>519 161-165 : BUSINESS MATHEMATICS AND ANALYSIS</t>
  </si>
  <si>
    <t xml:space="preserve"> วรรณภา พนิตสุภากมล , สานนท์ ยะหอม</t>
  </si>
  <si>
    <t xml:space="preserve"> วรรณภา พนิตสุภากมล</t>
  </si>
  <si>
    <r>
      <rPr>
        <sz val="16"/>
        <color theme="1"/>
        <rFont val="TH Sarabun New"/>
        <charset val="134"/>
      </rPr>
      <t>511 321-2560-165 : PARTIAL DIFFERENTIAL EQUATIONS</t>
    </r>
    <r>
      <rPr>
        <sz val="16"/>
        <color rgb="FFFF0000"/>
        <rFont val="TH Sarabun New"/>
        <charset val="134"/>
      </rPr>
      <t xml:space="preserve"> (ฟ้า)</t>
    </r>
  </si>
  <si>
    <t xml:space="preserve"> วรกฤษณ์ ศุภพร , พิรดา สุมานนท์</t>
  </si>
  <si>
    <t xml:space="preserve"> สวรรยา ศกุนตะเสฐียร</t>
  </si>
  <si>
    <t>512 316-165 : PLANT TAXONOMY LABORATORY</t>
  </si>
  <si>
    <r>
      <rPr>
        <sz val="16"/>
        <color theme="1"/>
        <rFont val="TH Sarabun New"/>
        <charset val="134"/>
      </rPr>
      <t xml:space="preserve">519 361-165 : LINEAR PROGRAMMING </t>
    </r>
    <r>
      <rPr>
        <sz val="16"/>
        <color rgb="FFFF0000"/>
        <rFont val="TH Sarabun New"/>
        <charset val="134"/>
      </rPr>
      <t>(ส้ม)</t>
    </r>
  </si>
  <si>
    <t>513 321-2560 : PHYSICAL CHEMISTRY III</t>
  </si>
  <si>
    <t xml:space="preserve"> วรัญญู พูลสวัสดิ์ , สุธินี เกิดเทพ</t>
  </si>
  <si>
    <t xml:space="preserve"> ฉันทนา วัยนิพิฐพงษ์ , สุธินี เกิดเทพ</t>
  </si>
  <si>
    <r>
      <rPr>
        <sz val="16"/>
        <color theme="1"/>
        <rFont val="TH Sarabun New"/>
        <charset val="134"/>
      </rPr>
      <t xml:space="preserve">514 201-165 : MECHANICS I </t>
    </r>
    <r>
      <rPr>
        <sz val="16"/>
        <color rgb="FFFF0000"/>
        <rFont val="TH Sarabun New"/>
        <charset val="134"/>
      </rPr>
      <t>(ฟ้า)</t>
    </r>
  </si>
  <si>
    <t xml:space="preserve"> กรทิพย์ โต๊ะสิงห์ , วรภาส พรมเสน</t>
  </si>
  <si>
    <t>514 107-2560-2561-165 : FUNDAMENTAL PHYSICS</t>
  </si>
  <si>
    <t xml:space="preserve"> วรรณภา พนิตสุภากมล , เดชา สุขมา , กิตติยาพร สิงห์สัมพันธ์ , ชวรัตน์ ศิริวงษ์ , ยุทธศักดิ์ บุญรอด , ทักษวัน ทองอร่าม</t>
  </si>
  <si>
    <t xml:space="preserve"> งามจิตต์ เจียรกุลประเสริฐ , ชวรัตน์ ศิริวงษ์ , ภราดร ภักดีวานิช , สุภัคชัย พงศ์เลิศสกุล</t>
  </si>
  <si>
    <r>
      <rPr>
        <sz val="16"/>
        <color theme="1"/>
        <rFont val="TH Sarabun New"/>
        <charset val="134"/>
      </rPr>
      <t>515 323-165 : PREDICTIVE MODELING TECHNIQUES</t>
    </r>
    <r>
      <rPr>
        <sz val="16"/>
        <color rgb="FFFF0000"/>
        <rFont val="TH Sarabun New"/>
        <charset val="134"/>
      </rPr>
      <t xml:space="preserve"> openbook</t>
    </r>
  </si>
  <si>
    <t>516 350-2560-165 : WATER POLLUTION AND CONTROLS</t>
  </si>
  <si>
    <t xml:space="preserve"> พรทิพย์ ศรีแดง , อุรารักษ์ ร่มรื่น</t>
  </si>
  <si>
    <t xml:space="preserve"> มัลลิกา ปัญญาคะโป , ดาวรุ่ง สังข์ทอง , พรทิพย์ ศรีแดง</t>
  </si>
  <si>
    <r>
      <rPr>
        <sz val="16"/>
        <color theme="1"/>
        <rFont val="TH Sarabun New"/>
        <charset val="134"/>
      </rPr>
      <t xml:space="preserve">518 311-2560 : MUSHROOM BIOLOGY </t>
    </r>
    <r>
      <rPr>
        <sz val="16"/>
        <color rgb="FFFF0000"/>
        <rFont val="TH Sarabun New"/>
        <charset val="134"/>
      </rPr>
      <t>(ฟ้า)</t>
    </r>
  </si>
  <si>
    <t xml:space="preserve"> เอกพันธ์ บางยี่ขัน</t>
  </si>
  <si>
    <t>520 251-165 : HUMAN COMPUTER INTERACTION AND USER EXPERIENCE DESIGN</t>
  </si>
  <si>
    <t xml:space="preserve"> รัฐพล อ้นแฉ่ง , ณัฐโชติ พรหมฤทธิ์ , อรประภา ภุมมะกาญจนะ โรแบร์ , สัจจาภรณ์ ไวจรรยา , ปิยาภรณ์ จิรวัชรเดช</t>
  </si>
  <si>
    <t>513 482-2560 : SELECTED TOPICS IN PHYSICAL CHEMISTRY</t>
  </si>
  <si>
    <t xml:space="preserve"> วราพร ภาราดามิตร , ฉันทนา วัยนิพิฐพงษ์</t>
  </si>
  <si>
    <t>5</t>
  </si>
  <si>
    <t>511 246-165 : LINEAR ALGEBRA WITH APPLICATION</t>
  </si>
  <si>
    <t xml:space="preserve"> ศิริรัตน์ ชูสกุลเกรียง , สิทธิเศรษฐ์ พลเวียง</t>
  </si>
  <si>
    <t xml:space="preserve"> พรทรัพย์ พรสวัสดิ์ , ทิวดี มุสันเทียะ , ภาสวรรณ นพแก้ว</t>
  </si>
  <si>
    <r>
      <rPr>
        <sz val="16"/>
        <color theme="1"/>
        <rFont val="TH Sarabun New"/>
        <charset val="134"/>
      </rPr>
      <t xml:space="preserve">515 311-2560 : STATISTICAL INFERENCE II </t>
    </r>
    <r>
      <rPr>
        <sz val="16"/>
        <color rgb="FFFF0000"/>
        <rFont val="TH Sarabun New"/>
        <charset val="134"/>
      </rPr>
      <t>(ฟ้า)</t>
    </r>
  </si>
  <si>
    <t>511 341-2560-165 : ABSTRACT ALGEBRA I</t>
  </si>
  <si>
    <t xml:space="preserve"> สมพงค์ จิตต์มั่น , จิตนภา ศิริรักษ์</t>
  </si>
  <si>
    <t>512 233-2560-165 : INVERTEBRATE ZOOLOGY</t>
  </si>
  <si>
    <t xml:space="preserve"> รุ่งรัตน์ วัดตาล , วิวิชชุตา เดชรักษา</t>
  </si>
  <si>
    <t xml:space="preserve"> วิวิชชุตา เดชรักษา</t>
  </si>
  <si>
    <t xml:space="preserve"> วันวิวาห์ ตุ้มน้อย , วิวิชชุตา เดชรักษา</t>
  </si>
  <si>
    <r>
      <rPr>
        <sz val="16"/>
        <color theme="1"/>
        <rFont val="TH Sarabun New"/>
        <charset val="134"/>
      </rPr>
      <t xml:space="preserve">514 102-55-2560-162-165 : GENERAL PHYSICS II </t>
    </r>
    <r>
      <rPr>
        <sz val="16"/>
        <color rgb="FFFF0000"/>
        <rFont val="TH Sarabun New"/>
        <charset val="134"/>
      </rPr>
      <t>(ฟ้า)</t>
    </r>
  </si>
  <si>
    <t xml:space="preserve"> ประสาน ปานแก้ว , รุ่งรัตน์ วัดตาล</t>
  </si>
  <si>
    <t>513 311-2560-165 : INORGANIC CHEMISTRY I</t>
  </si>
  <si>
    <t xml:space="preserve"> รัชฎา บุญเต็ม , อมรฤทธิ์ ศรีนวล , ชีวิตา สุวรรณชวลิต</t>
  </si>
  <si>
    <t xml:space="preserve"> กุลทัศน์ สุวัฒน์พิพัฒน์</t>
  </si>
  <si>
    <t xml:space="preserve"> รัชฎา บุญเต็ม , ชีวิตา สุวรรณชวลิต , กุลทัศน์ สุวัฒน์พิพัฒน์</t>
  </si>
  <si>
    <t>514 110-165 : GENERAL PHYSICS FOR MATERIALS ENGINEERS</t>
  </si>
  <si>
    <t xml:space="preserve"> วรภาส พรมเสน , บดินทร์ ดำรงศักดิ์ , บุญลักษณ์ นามนวน</t>
  </si>
  <si>
    <t xml:space="preserve"> วรภาส พรมเสน</t>
  </si>
  <si>
    <t>518 207-165 : BIOSAFETY IN MICROBIOLOGICAL LABORATORY</t>
  </si>
  <si>
    <t xml:space="preserve"> กรพรรณ เศวตสุวรรณกุล , สรัญณัชช์ บุญเปรม , พัชราพร พงษ์พัฒน์</t>
  </si>
  <si>
    <t xml:space="preserve"> สุจินันท์ มีไล้</t>
  </si>
  <si>
    <t xml:space="preserve"> สุจินันท์ มีไล้ , ธนาพร ชื่นอิ่ม</t>
  </si>
  <si>
    <t>514 112-165 : FUNDAMENTAL PHYSICS FOR INDUSTRIAL ENGINEERING</t>
  </si>
  <si>
    <t xml:space="preserve"> สุมามาลย์ บรรเทิง , อรทัย เขียวพุ่ม , กิตติยาพร สิงห์สัมพันธ์ , ยุทธศักดิ์ บุญรอด , พันธ์วริศ บุญประจันทร์</t>
  </si>
  <si>
    <t xml:space="preserve"> ดุจดาว จารุจิตติพันธ์</t>
  </si>
  <si>
    <t xml:space="preserve"> พงษ์ลัดดา ปัญญาจิรวุฒิ , ดุจดาว จารุจิตติพันธ์</t>
  </si>
  <si>
    <r>
      <rPr>
        <sz val="16"/>
        <color theme="1"/>
        <rFont val="TH Sarabun New"/>
        <charset val="134"/>
      </rPr>
      <t xml:space="preserve">516 270-2560-165 : ENVIRONMENTAL ECOLOGY </t>
    </r>
    <r>
      <rPr>
        <sz val="16"/>
        <color rgb="FFFF0000"/>
        <rFont val="TH Sarabun New"/>
        <charset val="134"/>
      </rPr>
      <t>openbook</t>
    </r>
  </si>
  <si>
    <t xml:space="preserve"> อรประภา ภุมมะกาญจนะ โรแบร์ , พชรพล อินทุเวศ</t>
  </si>
  <si>
    <t xml:space="preserve"> พชรพล อินทุเวศ</t>
  </si>
  <si>
    <t>517 341-160 : COMPUTER NETWORK ARCHITECTURE AND TECHNOLOGY</t>
  </si>
  <si>
    <t xml:space="preserve"> เสฐลัทธ์ รอดเหตุภัย , วัสรา รอดเหตุภัย , อุทัย คันธะมาลา</t>
  </si>
  <si>
    <t>520 342-2560 : COMPUTER NETWORK ARCHITECTURE AND TECHNOLOGY</t>
  </si>
  <si>
    <t>517 431-165 : MACHINE LEARNING</t>
  </si>
  <si>
    <t xml:space="preserve"> นงนุช กำลังแพทย์ , สัจจาภรณ์ ไวจรรยา</t>
  </si>
  <si>
    <t>517 482-2560 : SELECTED TOPICS IN COMPUTER SCIENCE II</t>
  </si>
  <si>
    <t>520 482-160 : SELECTED TOPICS IN INFORMATION TECHNOLOGY II</t>
  </si>
  <si>
    <t xml:space="preserve"> ทิวดี มุสันเทียะ , สมพงค์ จิตต์มั่น</t>
  </si>
  <si>
    <t>513 411-2560 : ADVANCED INORGANIC CHEMISTRY I</t>
  </si>
  <si>
    <t xml:space="preserve"> วรภาส พรมเสน , อมรฤทธิ์ ศรีนวล</t>
  </si>
  <si>
    <t xml:space="preserve"> กุลทัศน์ สุวัฒน์พิพัฒน์ , ณัฐวรรณ วรวรรโณทัย</t>
  </si>
  <si>
    <t>SU 131-162 : INTRODUCTION TO INFORMATION MANAGEMENT</t>
  </si>
  <si>
    <t xml:space="preserve"> กรพรรณ เศวตสุวรรณกุล , ชนกานต์ สังข์บุญชู</t>
  </si>
  <si>
    <t>SU 147-166 : DATA ANALYTICS WITH EXCEL</t>
  </si>
  <si>
    <r>
      <rPr>
        <sz val="16"/>
        <color theme="1"/>
        <rFont val="TH Sarabun New"/>
        <charset val="134"/>
      </rPr>
      <t xml:space="preserve">511 331-2560 : MATHEMATICAL ANALYSIS </t>
    </r>
    <r>
      <rPr>
        <sz val="16"/>
        <color rgb="FFFF0000"/>
        <rFont val="TH Sarabun New"/>
        <charset val="134"/>
      </rPr>
      <t>(ฟ้า)</t>
    </r>
  </si>
  <si>
    <t xml:space="preserve"> ฉันทนา วัยนิพิฐพงษ์ , พัลลภ คันธิยงค์ , ณิชนันทน์ สิรสุนทร</t>
  </si>
  <si>
    <t xml:space="preserve"> ปรีชญา สัญญฑิตย์</t>
  </si>
  <si>
    <t>513 110-165 : ESSENTIAL CHEMISTRY FOR CHEMICAL ENGINEERS</t>
  </si>
  <si>
    <t xml:space="preserve"> ศิริรัตน์ ชูสกุลเกรียง , จิตนภา ศิริรักษ์ , สุนทร สุวอเขียว , กฤช เศรษฐการ , กนกวรรณ เจริญกิจอมร</t>
  </si>
  <si>
    <t>511 331-165 : MATHEMATICAL ANALYSIS I</t>
  </si>
  <si>
    <t xml:space="preserve"> วราพร ภาราดามิตร , อรทัย เขียวพุ่ม</t>
  </si>
  <si>
    <t xml:space="preserve"> สมเจตน์ ชัยยะ</t>
  </si>
  <si>
    <r>
      <rPr>
        <sz val="16"/>
        <color theme="1"/>
        <rFont val="TH Sarabun New"/>
        <charset val="134"/>
      </rPr>
      <t xml:space="preserve">514 204-165 : GENERAL PHYSICS III </t>
    </r>
    <r>
      <rPr>
        <sz val="16"/>
        <color rgb="FFFF0000"/>
        <rFont val="TH Sarabun New"/>
        <charset val="134"/>
      </rPr>
      <t>(ฟ้า)</t>
    </r>
  </si>
  <si>
    <t xml:space="preserve"> อรทัย เขียวพุ่ม , สุภัคชัย พงศ์เลิศสกุล</t>
  </si>
  <si>
    <t>512 234-2560-165 : INVERTEBRATE ZOOLOGY LABORATORY</t>
  </si>
  <si>
    <t xml:space="preserve"> วิวิชชุตา เดชรักษา , ยศเวท สิริจามร</t>
  </si>
  <si>
    <t xml:space="preserve"> วันวิวาห์ ตุ้มน้อย , วิวิชชุตา เดชรักษา , นวลพรรณ วีระเวชสุกิจ</t>
  </si>
  <si>
    <t>513 100-2560-165 : GENERAL CHEMISTRY</t>
  </si>
  <si>
    <t xml:space="preserve"> ศิริรัตน์ ชูสกุลเกรียง , ชีวิตา สุวรรณชวลิต , จิตนภา ศิริรักษ์ , จาตุรงค์ ผลประเสริฐ</t>
  </si>
  <si>
    <t xml:space="preserve"> ศิริรัตน์ ชูสกุลเกรียง , สุนทร สุวอเขียว , นัฐธพล ยอดศิลป์</t>
  </si>
  <si>
    <t>513 221-2560 : PHYSICAL CHEMISTRY I</t>
  </si>
  <si>
    <t xml:space="preserve"> รัชฎา บุญเต็ม , ณัฐวรรณ วรวรรโณทัย , พรทิพย์ ทองยิ่ง</t>
  </si>
  <si>
    <t xml:space="preserve"> พรทิพย์ ทองยิ่ง</t>
  </si>
  <si>
    <t xml:space="preserve"> สุพรรณี ฉายะบุตร , พัฒนาวิศว์ สว่างลาภ , พรทิพย์ ทองยิ่ง</t>
  </si>
  <si>
    <r>
      <rPr>
        <sz val="16"/>
        <color theme="1"/>
        <rFont val="TH Sarabun New"/>
        <charset val="134"/>
      </rPr>
      <t xml:space="preserve">517 321-2560-165 : PRINCIPLES OF PROGRAMMING LANGUAGES </t>
    </r>
    <r>
      <rPr>
        <sz val="16"/>
        <color rgb="FFFF0000"/>
        <rFont val="TH Sarabun New"/>
        <charset val="134"/>
      </rPr>
      <t>openbook</t>
    </r>
  </si>
  <si>
    <t xml:space="preserve"> ทัศนวรรณ ศูนย์กลาง , สุมามาลย์ บรรเทิง , อรประภา ภุมมะกาญจนะ โรแบร์ , รุ่งรัตน์ วัดตาล</t>
  </si>
  <si>
    <t xml:space="preserve"> ทัศนวรรณ ศูนย์กลาง</t>
  </si>
  <si>
    <t>515 322-165 : EXPLORATORY DATA ANALYSIS AND DATA VISUALIZATION</t>
  </si>
  <si>
    <t xml:space="preserve"> พัณณิ์ภาริษา ของทิพย์ , ชัยวัฒน์ ศรีสร้อยแก้ว</t>
  </si>
  <si>
    <t xml:space="preserve"> พัณณิ์ภาริษา ของทิพย์</t>
  </si>
  <si>
    <t>512 362-2560 : DNA MARKERS AND APPLICATIONS</t>
  </si>
  <si>
    <t xml:space="preserve"> ธัญนันท์ วรรณธง บรอคเคิลเฮอร์สท์ , ปรารถนา เผือกวิไล</t>
  </si>
  <si>
    <t xml:space="preserve"> ปรารถนา เผือกวิไล</t>
  </si>
  <si>
    <t>6</t>
  </si>
  <si>
    <t xml:space="preserve"> ชนกานต์ สังข์บุญชู , ชัยวัฒน์ ศรีสร้อยแก้ว</t>
  </si>
  <si>
    <t xml:space="preserve"> วิภาวรรณ เล้าอรุณ , ปิยพล ไพจิตร</t>
  </si>
  <si>
    <t>512 200-165 : STRUCTURES AND FUNCTIONS OF LIFE</t>
  </si>
  <si>
    <t xml:space="preserve"> ณิมนาราห์ อยู่คงแก้ว , ชลกรานต์ อวยจินดา</t>
  </si>
  <si>
    <t xml:space="preserve"> ชลกรานต์ อวยจินดา</t>
  </si>
  <si>
    <t xml:space="preserve"> กุลนาถ อบสุวรรณ , ศรัณยพร มากทรัพย์ , อดิศรี เจริญพานิช , ยศเวท สิริจามร , สุธาทิพย์ อำนวยสิน , ชญาดา โชติศรีศุภรัตน์ , ภัคพล ท้าวเวชสุวรรณ , ภาณุพงษ์ ทองเปรม , ชลกรานต์ อวยจินดา</t>
  </si>
  <si>
    <t xml:space="preserve"> อุมารัจน์ สันติสุขเกษม , ภัคพล ท้าวเวชสุวรรณ</t>
  </si>
  <si>
    <r>
      <rPr>
        <sz val="16"/>
        <color theme="1"/>
        <rFont val="TH Sarabun New"/>
        <charset val="134"/>
      </rPr>
      <t xml:space="preserve">517 222-165 : COMPUTER ORGANIZATION AND ARCHITECTURE </t>
    </r>
    <r>
      <rPr>
        <sz val="16"/>
        <color rgb="FFFF0000"/>
        <rFont val="TH Sarabun New"/>
        <charset val="134"/>
      </rPr>
      <t>(ฟ้า)</t>
    </r>
  </si>
  <si>
    <t xml:space="preserve"> อภิเษก หงษ์วิทยากร</t>
  </si>
  <si>
    <t xml:space="preserve"> อภิเษก หงษ์วิทยากร , วราภรณ์ เจียนระลึก</t>
  </si>
  <si>
    <t>513 101-2560-165 : GENERAL CHEMISTRY I</t>
  </si>
  <si>
    <t xml:space="preserve"> ณัชปภา สงวนวงศ์ , พัลลภ คันธิยงค์ , เชาวฤทธิ์ กาบแก้ว , สุธินี เกิดเทพ , พันธ์วริศ บุญประจันทร์ , พัชราพร พงษ์พัฒน์</t>
  </si>
  <si>
    <t xml:space="preserve"> รัชฎา บุญเต็ม , ชีวิตา สุวรรณชวลิต , กุลทัศน์ สุวัฒน์พิพัฒน์ , ณัฐวรรณ วรวรรโณทัย</t>
  </si>
  <si>
    <t>513 101-165 : GENERAL CHEMISTRY I</t>
  </si>
  <si>
    <t xml:space="preserve"> วยา พุทธวงศ์ , พจนา อินทะเตชะ , ศักดิ์ชัย เภาด้วง , ศรันย์ภัทร์ สุวรรณรัตน์ , นัฐธพล ยอดศิลป์</t>
  </si>
  <si>
    <t xml:space="preserve"> วราพร ภาราดามิตร , วิรัญญา สุทัศนวิชานนะ , ประพันธ์พงศ์ พงศ์ศรีเอี่ยม , เฉลิมพงศ์ วรวรรโณทัย , ณิชนันทน์ สิรสุนทร</t>
  </si>
  <si>
    <t>1-12</t>
  </si>
  <si>
    <r>
      <rPr>
        <sz val="16"/>
        <color theme="1"/>
        <rFont val="TH Sarabun New"/>
        <charset val="134"/>
      </rPr>
      <t xml:space="preserve">511 251-162-165 : NUMBER THEORY I </t>
    </r>
    <r>
      <rPr>
        <sz val="16"/>
        <color rgb="FFFF0000"/>
        <rFont val="TH Sarabun New"/>
        <charset val="134"/>
      </rPr>
      <t>(ฟ้า)</t>
    </r>
  </si>
  <si>
    <t>13</t>
  </si>
  <si>
    <t>513 106-165 : BASIC CHEMISTRY</t>
  </si>
  <si>
    <t xml:space="preserve"> รัชฎา บุญเต็ม , จิตนภา ศิริรักษ์ , พชรพล อินทุเวศ</t>
  </si>
  <si>
    <t xml:space="preserve"> วิทวัส หาญดี , สุชารัตน์ สนองเกียรติ , ชนากานต์ ทองสุข</t>
  </si>
  <si>
    <t>513 108-165 : GENERAL CHEMISTRY FOR PHARMACY STUDENTS</t>
  </si>
  <si>
    <t xml:space="preserve"> ฉันทนา วัยนิพิฐพงษ์ , ณัฐวรรณ วรวรรโณทัย , จาตุรงค์ ผลประเสริฐ , ณัฐพงศ์ ยิ่งยอดกุล</t>
  </si>
  <si>
    <t xml:space="preserve"> ณัฐวรรณ วรวรรโณทัย</t>
  </si>
  <si>
    <t xml:space="preserve"> รัชฎา บุญเต็ม , ณัฐวรรณ วรวรรโณทัย , สุนทร สุวอเขียว</t>
  </si>
  <si>
    <t>514 114-165 : ESSENTIAL PHYSICS FOR CHEMICAL ENGINEERS</t>
  </si>
  <si>
    <t xml:space="preserve"> วรภาส พรมเสน , กิตติยาพร สิงห์สัมพันธ์</t>
  </si>
  <si>
    <t xml:space="preserve"> กิตติยาพร สิงห์สัมพันธ์</t>
  </si>
  <si>
    <t xml:space="preserve"> กิตติยาพร สิงห์สัมพันธ์ , อรวรรณ์ อัมพร</t>
  </si>
  <si>
    <t xml:space="preserve"> กนกอร ระย้านิล , บุญลักษณ์ นามนวน</t>
  </si>
  <si>
    <r>
      <rPr>
        <sz val="16"/>
        <color theme="1"/>
        <rFont val="TH Sarabun New"/>
        <charset val="134"/>
      </rPr>
      <t xml:space="preserve">513 352-2560 : ADVANCED ORGANIC CHEMISTRY II </t>
    </r>
    <r>
      <rPr>
        <sz val="16"/>
        <color rgb="FFFF0000"/>
        <rFont val="TH Sarabun New"/>
        <charset val="134"/>
      </rPr>
      <t>(ฟ้า)</t>
    </r>
  </si>
  <si>
    <r>
      <rPr>
        <sz val="16"/>
        <color theme="1"/>
        <rFont val="TH Sarabun New"/>
        <charset val="134"/>
      </rPr>
      <t xml:space="preserve">515 351-165 : FUNDAMENTALS OF ACTUARIAL MATHEMATICS </t>
    </r>
    <r>
      <rPr>
        <sz val="16"/>
        <color rgb="FFFF0000"/>
        <rFont val="TH Sarabun New"/>
        <charset val="134"/>
      </rPr>
      <t>(ส้ม)</t>
    </r>
  </si>
  <si>
    <t xml:space="preserve"> อดิศักดิ์ เม้ามีศรี</t>
  </si>
  <si>
    <r>
      <rPr>
        <sz val="16"/>
        <color theme="1"/>
        <rFont val="TH Sarabun New"/>
        <charset val="134"/>
      </rPr>
      <t xml:space="preserve">514 356-2560 : INTRODUCTION TO MATERIALS CHARACTERIZATION </t>
    </r>
    <r>
      <rPr>
        <sz val="16"/>
        <color rgb="FFFF0000"/>
        <rFont val="TH Sarabun New"/>
        <charset val="134"/>
      </rPr>
      <t>(ฟ้า)</t>
    </r>
  </si>
  <si>
    <t xml:space="preserve"> มนตรี เอี่ยมพนากิจ , อภิญญา ธาตุสุวรรณ์</t>
  </si>
  <si>
    <t>522 251-2561-165 : DATABASE SYSTEMS FOR DATA SCIENCE</t>
  </si>
  <si>
    <t>520 342-165 : SERVER SIDE WEB PROGRAMMING</t>
  </si>
  <si>
    <t xml:space="preserve"> เสาวลักษณ์ อร่ามพงศานุวัต , เอกพบ ขจรไพศาล</t>
  </si>
  <si>
    <t xml:space="preserve"> ณัฐโชติ พรหมฤทธิ์ , สัจจาภรณ์ ไวจรรยา</t>
  </si>
  <si>
    <r>
      <rPr>
        <sz val="16"/>
        <color theme="1"/>
        <rFont val="TH Sarabun New"/>
        <charset val="134"/>
      </rPr>
      <t xml:space="preserve">519 391-165 : RESEARCH METHODOLOGY </t>
    </r>
    <r>
      <rPr>
        <sz val="16"/>
        <color rgb="FFFF0000"/>
        <rFont val="TH Sarabun New"/>
        <charset val="134"/>
      </rPr>
      <t>openbook</t>
    </r>
  </si>
  <si>
    <t xml:space="preserve">  2103 ว.2</t>
  </si>
  <si>
    <t xml:space="preserve"> วรรณภา พนิตสุภากมล , ภาสวรรณ นพแก้ว</t>
  </si>
  <si>
    <t>520 487-2560 : SELECTED TOPICS IN INFORMATION TECHNOLOGY VII</t>
  </si>
  <si>
    <t xml:space="preserve"> ดาวรุ่ง สังข์ทอง , รัฐพล อ้นแฉ่ง , สิราวรรณ สาสุข , สุธาทิพย์ อำนวยสิน</t>
  </si>
  <si>
    <t xml:space="preserve"> เอกพบ ขจรไพศาล , ยศเวท สิริจามร</t>
  </si>
  <si>
    <t>511 351-2560-165 : INTRODUCTION TO GRAPH THEORY</t>
  </si>
  <si>
    <t xml:space="preserve"> มนตรี เอี่ยมพนากิจ , ณิชนันทน์ สิรสุนทร</t>
  </si>
  <si>
    <r>
      <rPr>
        <sz val="16"/>
        <color theme="1"/>
        <rFont val="TH Sarabun New"/>
        <charset val="134"/>
      </rPr>
      <t>514 302-165 : INTRODUCTION TO SOLID STATE PHYSICS</t>
    </r>
    <r>
      <rPr>
        <sz val="16"/>
        <color rgb="FFFF0000"/>
        <rFont val="TH Sarabun New"/>
        <charset val="134"/>
      </rPr>
      <t xml:space="preserve"> (ฟ้า)</t>
    </r>
  </si>
  <si>
    <t xml:space="preserve"> มนตรี เอี่ยมพนากิจ</t>
  </si>
  <si>
    <t>512 236-2560-165 : VERTEBRATE ZOOLOGY LABORATORY</t>
  </si>
  <si>
    <t xml:space="preserve"> กัมปนาท ธาราภูมิ , สิราวรรณ สาสุข</t>
  </si>
  <si>
    <t>513 251-2560-165 : ORGANIC CHEMISTRY I</t>
  </si>
  <si>
    <t xml:space="preserve"> กนกอร ระย้านิล , พัลลภ คันธิยงค์ , กิตติยาพร สิงห์สัมพันธ์ , ณัฐวรรณ วรวรรโณทัย</t>
  </si>
  <si>
    <t xml:space="preserve"> กนกอร ระย้านิล</t>
  </si>
  <si>
    <t xml:space="preserve"> กนกอร ระย้านิล , ภาณุพันธ์ ลิมปชยาพร</t>
  </si>
  <si>
    <t>515 231-165 : PROBABILITY AND STOCHASTIC PROCESS</t>
  </si>
  <si>
    <t xml:space="preserve"> ผ่องศรี เผ่าภูรี , นัฐธพล ยอดศิลป์</t>
  </si>
  <si>
    <t>518 211-165 : APPLIED MYCOLOGY</t>
  </si>
  <si>
    <t xml:space="preserve"> วรภาส พรมเสน , พัชราพร พงษ์พัฒน์</t>
  </si>
  <si>
    <t>520 442-160 : WEB SERVICE</t>
  </si>
  <si>
    <t>520 212-2560 : LAWS AND ETHICS IN INFORMATION TECHNOLOGY</t>
  </si>
  <si>
    <t xml:space="preserve"> บุญลักษณ์ นามนวน , ชลกรานต์ อวยจินดา</t>
  </si>
  <si>
    <t>522 301-2561-165 : ETHICS AND INFORMATION SECURITY</t>
  </si>
  <si>
    <t>513 103-2560-165 : GENERAL CHEMISTRY LABORATORY I</t>
  </si>
  <si>
    <t xml:space="preserve"> ศักดิ์ชัย เภาด้วง , สุนทร สุวอเขียว , พรทิพย์ ทองยิ่ง , ชนากานต์ เทพกรณ์ , พัฏฐ์ณิชา พัฒนศิริ , มิรันตรี ใจแสน</t>
  </si>
  <si>
    <t xml:space="preserve"> สุนทร สุวอเขียว</t>
  </si>
  <si>
    <t xml:space="preserve"> พัฒนาวิศว์ สว่างลาภ , จิตนภา ศิริรักษ์ , สุธินี เกิดเทพ , สุนทร สุวอเขียว , พรทิพย์ ทองยิ่ง , กฤช เศรษฐการ , นัฐธพล ยอดศิลป์</t>
  </si>
  <si>
    <t>7</t>
  </si>
  <si>
    <t>513 103-165 : GENERAL CHEMISTRY LABORATORY I</t>
  </si>
  <si>
    <t xml:space="preserve"> เอกพบ ขจรไพศาล , ธาริณี กฤษฎาพรอนันท์ , พันธ์วริศ บุญประจันทร์ , วรรณสิริ ล่าบ้านหลวง , จิราภรณ์ สุขนิพิฐพงษ์</t>
  </si>
  <si>
    <t xml:space="preserve"> ณัชปภา สงวนวงศ์ , กุลทัศน์ สุวัฒน์พิพัฒน์ , ขนิษฐา เมฆสวัสดิ์ , ภัทราพร เม้ามีศรี</t>
  </si>
  <si>
    <t xml:space="preserve"> วราพร ภาราดามิตร , สุชารัตน์ สนองเกียรติ , สุนทร สุวอเขียว , ณิชนันทน์ สิรสุนทร</t>
  </si>
  <si>
    <t>513 107-2560-165 : BASIC CHEMISTRY LABORATORY</t>
  </si>
  <si>
    <t xml:space="preserve"> ธนพล เจริญวงษ์ไพบูลย์ , สรัญณัชช์ บุญเปรม</t>
  </si>
  <si>
    <t>513 107-165 : BASIC CHEMISTRY LABORATORY</t>
  </si>
  <si>
    <t xml:space="preserve"> พัฒนาวิศว์ สว่างลาภ , รัตนาวดี สระทองจิน</t>
  </si>
  <si>
    <t>513 341-2560-165 : BIOCHEMISTRY I</t>
  </si>
  <si>
    <t xml:space="preserve"> เดชา สุขมา , อังก์ศิริ ทิพยารมณ์ , สุภาภรณ์ ธรรมประทีป , จาตุรงค์ ผลประเสริฐ , ชนากานต์ ทองสุข</t>
  </si>
  <si>
    <t>513 341-165 : BIOCHEMISTRY</t>
  </si>
  <si>
    <t xml:space="preserve"> พัฒนา คร้ามแสง , ยุทธศักดิ์ บุญรอด , วิทวัส หาญดี , ศศิภา ตรงต่อมิตร</t>
  </si>
  <si>
    <t>511 122-167 : GAMES AND MATHEMATICAL SKILLS DEVELOPMENT</t>
  </si>
  <si>
    <t xml:space="preserve"> เฉลิมพงศ์ วรวรรโณทัย , ปิยาภรณ์ ทองพูล</t>
  </si>
  <si>
    <t>514 231-165 : PHYSICS DATA FOR SCIENTISTS</t>
  </si>
  <si>
    <t xml:space="preserve"> ประสาน ปานแก้ว , มาริษา บำรุงเรือน , อวัตถา แก้วหานาม</t>
  </si>
  <si>
    <t xml:space="preserve"> อิสระ มะศิริ</t>
  </si>
  <si>
    <t xml:space="preserve"> สุมามาลย์ บรรเทิง , กรทิพย์ โต๊ะสิงห์ , อิสระ มะศิริ , รุ่งรัตน์ วัดตาล , สมเจตน์ ภัทรพานิชชัย</t>
  </si>
  <si>
    <t>515 103-162 : PROBABILITY AND STATISTICS</t>
  </si>
  <si>
    <t xml:space="preserve"> พงษ์ลัดดา ปัญญาจิรวุฒิ , กฤษณา จันทร์เจริญ</t>
  </si>
  <si>
    <r>
      <rPr>
        <sz val="16"/>
        <color theme="1"/>
        <rFont val="TH Sarabun New"/>
        <charset val="134"/>
      </rPr>
      <t>521 301-162 : ELECTRICITY and MAGNETISM</t>
    </r>
    <r>
      <rPr>
        <sz val="16"/>
        <color rgb="FFFF0000"/>
        <rFont val="TH Sarabun New"/>
        <charset val="134"/>
      </rPr>
      <t xml:space="preserve"> (ฟ้า)</t>
    </r>
  </si>
  <si>
    <t xml:space="preserve"> สุมามาลย์ บันเทิง</t>
  </si>
  <si>
    <t xml:space="preserve"> สุมามาลย์ บรรเทิง , บุญลักษณ์ นามนวน</t>
  </si>
  <si>
    <t>517 211-2560-165 : DATA STRUCTURES</t>
  </si>
  <si>
    <t>520 213-2560-165 : FUNDAMENTALS OF DATA STRUCTURES AND APPLICATIONS</t>
  </si>
  <si>
    <t xml:space="preserve">  409A-409B</t>
  </si>
  <si>
    <t xml:space="preserve"> กฤษณะ สีพนมวัน , วรันธร สอนสงวน</t>
  </si>
  <si>
    <t xml:space="preserve"> กฤษณะ สีพนมวัน</t>
  </si>
  <si>
    <t>520 213-165 : FUNDAMENTAL OF DATA STRUCTURES AND APPLICATIONS</t>
  </si>
  <si>
    <t xml:space="preserve">  410A-410B</t>
  </si>
  <si>
    <t xml:space="preserve"> กรพรรณ เศวตสุวรรณกุล , อุทัย คันธะมาลา</t>
  </si>
  <si>
    <t>513 105-2560-165 : GENERAL CHEMISTRY LABORATORY</t>
  </si>
  <si>
    <t xml:space="preserve"> ขนิษฐา เมฆสวัสดิ์ , วิทวัส หาญดี , สุนทร สุวอเขียว , วรรณสิริ ล่าบ้านหลวง</t>
  </si>
  <si>
    <t xml:space="preserve"> วราพร ภาราดามิตร , จิตนภา ศิริรักษ์ , สุธินี เกิดเทพ , สุชารัตน์ สนองเกียรติ , ชนากานต์ ทองสุข , สุนทร สุวอเขียว , กฤช เศรษฐการ , กนกวรรณ เจริญกิจอมร</t>
  </si>
  <si>
    <t>513 255-2560-165 : ORGANIC CHEMISTRY LABORATORY</t>
  </si>
  <si>
    <t xml:space="preserve"> กุลทัศน์ สุวัฒน์พิพัฒน์ , สุภาภรณ์ ธรรมประทีป , ธนพล เจริญวงษ์ไพบูลย์ , ศศิภา ตรงต่อมิตร , สรัญณัชช์ บุญเปรม , ปิยาภรณ์ ทองพูล</t>
  </si>
  <si>
    <t xml:space="preserve"> วยา พุทธวงศ์ , กนกอร ระย้านิล , มูฮำหมัด นิยมเดชา , พัลลภ คันธิยงค์ , นันทนิตย์ วานิชาชีวะ , ภาณุพันธ์ ลิมปชยาพร , กฤช เศรษฐการ</t>
  </si>
  <si>
    <t>511 203-2560-165 : VECTOR CALCULUS</t>
  </si>
  <si>
    <t xml:space="preserve"> ทิวดี มุสันเทียะ , มาริษา บำรุงเรือน</t>
  </si>
  <si>
    <r>
      <rPr>
        <sz val="16"/>
        <color theme="1"/>
        <rFont val="TH Sarabun New"/>
        <charset val="134"/>
      </rPr>
      <t xml:space="preserve">512 314-165 : PLANT PHYSIOLOGY LABORATORY </t>
    </r>
    <r>
      <rPr>
        <sz val="16"/>
        <color rgb="FFFF0000"/>
        <rFont val="TH Sarabun New"/>
        <charset val="134"/>
      </rPr>
      <t>(ฟ้า)</t>
    </r>
  </si>
  <si>
    <t xml:space="preserve"> ศรัณยพร มากทรัพย์</t>
  </si>
  <si>
    <t xml:space="preserve"> ศรัณยพร มากทรัพย์ , ณิมนาราห์ อยู่คงแก้ว , สุธาทิพย์ อำนวยสิน</t>
  </si>
  <si>
    <t>511 245-162 : MATRICES AND VECTOR SPACES</t>
  </si>
  <si>
    <t xml:space="preserve"> อังก์ศิริ ทิพยารมณ์ , พันธ์วริศ บุญประจันทร์</t>
  </si>
  <si>
    <r>
      <rPr>
        <sz val="16"/>
        <color theme="1"/>
        <rFont val="TH Sarabun New"/>
        <charset val="134"/>
      </rPr>
      <t xml:space="preserve">519 331-165 : INTRODUCTION TO STOCHASTIC MODELS </t>
    </r>
    <r>
      <rPr>
        <sz val="16"/>
        <color rgb="FFFF0000"/>
        <rFont val="TH Sarabun New"/>
        <charset val="134"/>
      </rPr>
      <t>(ฟ้า)</t>
    </r>
  </si>
  <si>
    <t xml:space="preserve"> ชนากานต์ เทพกรณ์ , มิรันตรี ใจแสน</t>
  </si>
  <si>
    <t>519 461-2560 : INTRODUCTION TO STOCHASTIC PROCESS</t>
  </si>
  <si>
    <t xml:space="preserve"> กฤษณะ สีพนมวัน , กฤษณา จันทร์เจริญ</t>
  </si>
  <si>
    <t xml:space="preserve"> วรันธร สอนสงวน , อุทัย คันธะมาลา</t>
  </si>
  <si>
    <t>520 333-2560 : DATA MINING</t>
  </si>
  <si>
    <t xml:space="preserve"> พัฒนาวิศว์ สว่างลาภ , ธาริณี กฤษฎาพรอนันท์ , อวัตถา แก้วหานาม</t>
  </si>
  <si>
    <t>522 355-2561 : ADVANCED DATA MINING AND DATA WAREHOUSING</t>
  </si>
  <si>
    <t>522 356-165 : DATA ANALYTICS AND DATA MINING</t>
  </si>
  <si>
    <t>524 245-166 : GEOGRAPHY AND INTRODUCTION TO GEOLOGY</t>
  </si>
  <si>
    <t xml:space="preserve"> ประสาน ปานแก้ว , รัตนาวดี สระทองจิน</t>
  </si>
  <si>
    <t xml:space="preserve"> ประสาน ปานแก้ว</t>
  </si>
  <si>
    <r>
      <rPr>
        <sz val="16"/>
        <color theme="1"/>
        <rFont val="TH Sarabun New"/>
        <charset val="134"/>
      </rPr>
      <t xml:space="preserve"> 514 342-2560 : SOLAR CELL TECHNOLOGY </t>
    </r>
    <r>
      <rPr>
        <sz val="16"/>
        <color rgb="FFFF0000"/>
        <rFont val="TH Sarabun New"/>
        <charset val="134"/>
      </rPr>
      <t>(ฟ้า)</t>
    </r>
  </si>
  <si>
    <t>512 334-2560-165 : ANIMAL PHYSIOLOGY LABORATORY</t>
  </si>
  <si>
    <t xml:space="preserve"> ศรัณยพร มากทรัพย์ , ศศิภา ตรงต่อมิตร</t>
  </si>
  <si>
    <r>
      <rPr>
        <sz val="16"/>
        <color theme="1"/>
        <rFont val="TH Sarabun New"/>
        <charset val="134"/>
      </rPr>
      <t xml:space="preserve">513 484-2560 : SELECTED TOPICS IN BIOCHEMISTRY </t>
    </r>
    <r>
      <rPr>
        <sz val="16"/>
        <color rgb="FFFF0000"/>
        <rFont val="TH Sarabun New"/>
        <charset val="134"/>
      </rPr>
      <t>(ฟ้า)</t>
    </r>
  </si>
  <si>
    <t xml:space="preserve"> สุชารัตน์ สนองเกียรติ , ธนพล เจริญวงษ์ไพบูลย์</t>
  </si>
  <si>
    <t>513 333-2560 : ANALYTICAL CHEMISTRY LABORATORY III</t>
  </si>
  <si>
    <t xml:space="preserve"> รัตนาวดี สระทองจิน , ชัยวัฒน์ ศรีสร้อยแก้ว , สรัญณัชช์ บุญเปรม</t>
  </si>
  <si>
    <t xml:space="preserve"> ณิชนันทน์ เทพศุภรังษิกุล , ศิริรัตน์ ชูสกุลเกรียง , สุมนมาลย์ จันทร์เอี่ยม , กนกวรรณ เจริญกิจอมร</t>
  </si>
  <si>
    <t>513 333-165 : ELECTROCHEMISTRY AND SEPARATION TECHNIQUES IN ANALYTICAL CHEMISTRY LABORATORY</t>
  </si>
  <si>
    <r>
      <rPr>
        <sz val="16"/>
        <color theme="1"/>
        <rFont val="TH Sarabun New"/>
        <charset val="134"/>
      </rPr>
      <t xml:space="preserve">515 102-167 : STATISTICS FOR MATHEMATICS TEACHERS I </t>
    </r>
    <r>
      <rPr>
        <sz val="16"/>
        <color rgb="FFFF0000"/>
        <rFont val="TH Sarabun New"/>
        <charset val="134"/>
      </rPr>
      <t>openbook</t>
    </r>
  </si>
  <si>
    <t xml:space="preserve"> ศศิประภา หิริโอตป์ , พันธ์วริศ บุญประจันทร์</t>
  </si>
  <si>
    <t>518 331-2560-165 : YEAST BIOLOGY AND TECHNOLOGY</t>
  </si>
  <si>
    <t xml:space="preserve"> สุจินันท์ มีไล้ , พัฒนา คร้ามแสง , กรพรรณ เศวตสุวรรณกุล , สาวิณี ปฐมสุริยะพร</t>
  </si>
  <si>
    <t>11:05 - 12:05</t>
  </si>
  <si>
    <t>518 332-2560-165 : YEAST BIOLOGY AND TECHNOLOGY LABORATORY</t>
  </si>
  <si>
    <t>511 103-165 : CALCULUS FOR BIOLOGICAL SCIENTISTS</t>
  </si>
  <si>
    <t xml:space="preserve"> จิราภา ลิ้มบุพศิริพร , สุภาภรณ์ ธรรมประทีป , สิทธิเศรษฐ์ พลเวียง , ปรีชญา สัญญฑิตย์ , กฤษณา จันทร์เจริญ , สิริพร บริรักวิสิฐศักดิ์</t>
  </si>
  <si>
    <t xml:space="preserve"> สิทธิเศรษฐ์ พลเวียง</t>
  </si>
  <si>
    <t xml:space="preserve"> สิทธิเศรษฐ์ พลเวียง , ปรีชญา สัญญฑิตย์</t>
  </si>
  <si>
    <t>511 114-165 : GENERAL MATHEMATICS</t>
  </si>
  <si>
    <t xml:space="preserve"> สินีนุช สุวรรณาภิชาติ</t>
  </si>
  <si>
    <t xml:space="preserve"> จิราภา ลิ้มบุพศิริพร , สินีนุช สุวรรณาภิชาติ</t>
  </si>
  <si>
    <t xml:space="preserve"> สมเจตน์ ชัยยะ , จิราภรณ์ สุขนิพิฐพงษ์ , ภัทราพร เม้ามีศรี</t>
  </si>
  <si>
    <t xml:space="preserve"> จิตติศักดิ์ รักบุตร</t>
  </si>
  <si>
    <t>511 113-165 : CALCULUS FOR INFORMATION TECHNOLOGY</t>
  </si>
  <si>
    <t>511 108-2560-165 : CALCULUS FOR COMPUTATIONAL SCIENTISTS I</t>
  </si>
  <si>
    <t xml:space="preserve"> พลเสรส์ รมอิสรส , สินีนุช สุวรรณาภิชาติ</t>
  </si>
  <si>
    <r>
      <rPr>
        <sz val="16"/>
        <color theme="1"/>
        <rFont val="TH Sarabun New"/>
        <charset val="134"/>
      </rPr>
      <t xml:space="preserve">514 343-2560 : WIND ENERGY </t>
    </r>
    <r>
      <rPr>
        <sz val="16"/>
        <color rgb="FFFF0000"/>
        <rFont val="TH Sarabun New"/>
        <charset val="134"/>
      </rPr>
      <t>(ฟ้า)</t>
    </r>
  </si>
  <si>
    <t>516 410-2560 : CLEANER TECHNOLOGY AND ENVIRONMENTAL MANAGEMENT</t>
  </si>
  <si>
    <t xml:space="preserve"> ขนิษฐา เมฆสวัสดิ์ , ธาริณี กฤษฎาพรอนันท์ , อุรารักษ์ ร่มรื่น , ปฏิกร ศรีภิรมย์ , ปิยาภรณ์ ทองพูล</t>
  </si>
  <si>
    <t xml:space="preserve"> พัชราพร พงษ์พัฒน์</t>
  </si>
  <si>
    <t>17-19</t>
  </si>
  <si>
    <t xml:space="preserve"> รัฐพล อ้นแฉ่ง , อุมารัจน์ สันติสุขเกษม , พัชราพร พงษ์พัฒน์</t>
  </si>
  <si>
    <t>518 101-165 : GENERAL MICROBIOLOGY</t>
  </si>
  <si>
    <t>1-16</t>
  </si>
  <si>
    <t>517 465-165 : FEATURE ENGINEERING</t>
  </si>
  <si>
    <t xml:space="preserve"> รัชดาพร คณาวงษ์ , อุทัย คันธะมาลา</t>
  </si>
  <si>
    <t>517 481-2560 : SELECTED TOPICS IN COMPUTER SCIENCE I</t>
  </si>
  <si>
    <t>520 485-2560 : SELECTED TOPICS IN INFORMATION TECHNOLOGY V</t>
  </si>
  <si>
    <t>522 352-2561 : FEATURE ENGINEERING</t>
  </si>
  <si>
    <t>513 233-2560-165 : ANALYTICAL CHEMISTRY LABORATORY I</t>
  </si>
  <si>
    <t xml:space="preserve"> พลเสรส์ รมอิสรส , สมเจตน์ ชัยยะ , รัตนาวดี สระทองจิน , พันธ์วริศ บุญประจันทร์ , สรัญณัชช์ บุญเปรม , จิราภรณ์ สุขนิพิฐพงษ์</t>
  </si>
  <si>
    <t xml:space="preserve"> ณิชนันทน์ เทพศุภรังษิกุล</t>
  </si>
  <si>
    <t xml:space="preserve"> วราพร ภาราดามิตร , ณิชนันทน์ เทพศุภรังษิกุล , สุมนมาลย์ จันทร์เอี่ยม , ณิชนันทน์ สิรสุนทร , กนกวรรณ เจริญกิจอมร</t>
  </si>
  <si>
    <t>513 431-2560 : ADVANCED ANALYTICAL CHEMISTRY I</t>
  </si>
  <si>
    <t xml:space="preserve"> จิราภา ลิ้มบุพศิริพร , ภัทราพร เม้ามีศรี</t>
  </si>
  <si>
    <t xml:space="preserve"> วราพร ภาราดามิตร , ศิริรัตน์ ชูสกุลเกรียง , ณิชนันทน์ สิรสุนทร</t>
  </si>
  <si>
    <t xml:space="preserve"> วิภาวรรณ เล้าอรุณ , ชัยวัฒน์ ศรีสร้อยแก้ว</t>
  </si>
  <si>
    <r>
      <rPr>
        <sz val="16"/>
        <color theme="1"/>
        <rFont val="TH Sarabun New"/>
        <charset val="134"/>
      </rPr>
      <t xml:space="preserve">512 313-2560-165 : PLANT PHYSIOLOGY </t>
    </r>
    <r>
      <rPr>
        <sz val="16"/>
        <color rgb="FFFF0000"/>
        <rFont val="TH Sarabun New"/>
        <charset val="134"/>
      </rPr>
      <t>(ฟ้า)</t>
    </r>
  </si>
  <si>
    <t xml:space="preserve"> พงษ์ลัดดา ปัญญาจิรวุฒิ , ศรัณยพร มากทรัพย์</t>
  </si>
  <si>
    <t>521 203-2562 : THERMODYNAMICS</t>
  </si>
  <si>
    <r>
      <rPr>
        <sz val="16"/>
        <color theme="1"/>
        <rFont val="TH Sarabun New"/>
        <charset val="134"/>
      </rPr>
      <t xml:space="preserve">521 303-162 : WAVES </t>
    </r>
    <r>
      <rPr>
        <sz val="16"/>
        <color rgb="FFFF0000"/>
        <rFont val="TH Sarabun New"/>
        <charset val="134"/>
      </rPr>
      <t>(ส้ม)</t>
    </r>
  </si>
  <si>
    <t xml:space="preserve"> ภราดร ภักดีวานิช , อิสระ มะศิริ</t>
  </si>
  <si>
    <r>
      <rPr>
        <sz val="16"/>
        <color theme="1"/>
        <rFont val="TH Sarabun New"/>
        <charset val="134"/>
      </rPr>
      <t xml:space="preserve">515 421-2560 : APPLIED MULTIVARIATE ANALYSIS </t>
    </r>
    <r>
      <rPr>
        <sz val="16"/>
        <color rgb="FFFF0000"/>
        <rFont val="TH Sarabun New"/>
        <charset val="134"/>
      </rPr>
      <t>openbook</t>
    </r>
  </si>
  <si>
    <t xml:space="preserve">  1441 ว.1</t>
  </si>
  <si>
    <t xml:space="preserve"> ศศิประภา หิริโอตป์ , กฤษณา จันทร์เจริญ</t>
  </si>
  <si>
    <r>
      <rPr>
        <sz val="16"/>
        <color theme="1"/>
        <rFont val="TH Sarabun New"/>
        <charset val="134"/>
      </rPr>
      <t xml:space="preserve">516 302-2560 : BASIC REMOTE SENSING </t>
    </r>
    <r>
      <rPr>
        <sz val="16"/>
        <color rgb="FFFF0000"/>
        <rFont val="TH Sarabun New"/>
        <charset val="134"/>
      </rPr>
      <t>(ฟ้า)</t>
    </r>
  </si>
  <si>
    <t xml:space="preserve"> ธาริณี กฤษฎาพรอนันท์ , ปฏิกร ศรีภิรมย์ , ปิยาภรณ์ ทองพูล</t>
  </si>
  <si>
    <t xml:space="preserve"> อรประภา ภุมมะกาญจนะ โรแบร์</t>
  </si>
  <si>
    <t>520 322-2560-165 : BUSINESS INFORMATION SYSTEMS</t>
  </si>
  <si>
    <t xml:space="preserve"> เสาวลักษณ์ อร่ามพงศานุวัต</t>
  </si>
  <si>
    <t>ตารางสอบกลางภาค ภาคการศึกษาต้น 2567</t>
  </si>
  <si>
    <t>จำนวนช.ม.</t>
  </si>
  <si>
    <t>จำนวน</t>
  </si>
  <si>
    <t>remark</t>
  </si>
  <si>
    <t>color</t>
  </si>
  <si>
    <t>ห้อง</t>
  </si>
  <si>
    <t>กลุ่ม</t>
  </si>
  <si>
    <t>513 427-2560 : POLYMER MATERIALS (ฟ้า)</t>
  </si>
  <si>
    <t>สีฟ้า</t>
  </si>
  <si>
    <t>สีขาว</t>
  </si>
  <si>
    <t>515 104-165 : STATISTICS FOR COMPUTING / 515 201--165-59 กลุ่ม 3 (Lab)</t>
  </si>
  <si>
    <t>517 214-2561-165 : DATA STRUCTURE AND ALGORITHM (Lect)</t>
  </si>
  <si>
    <t xml:space="preserve">  1227/1-1227/2 ว.1</t>
  </si>
  <si>
    <t>511 482-2560 : SELECTED TOPICS IN MATHEMATICS II / 511 485-162 (ฟ้า)</t>
  </si>
  <si>
    <t>517 214-2561-165 : DATA STRUCTURE AND ALGORITHM (Lab)</t>
  </si>
  <si>
    <t>517 212-165 : DISCRETE COMPUTATIONAL STRUCTURES / 517 213-2560</t>
  </si>
  <si>
    <t>524 101-166 : NATURE OF SCIENCE (ฟ้า)</t>
  </si>
  <si>
    <t>512 415-2560 : PLANT TISSUE AND CELL CULTURE (ฟ้า)</t>
  </si>
  <si>
    <t>513 435-2560-165 : CHEMICAL ANALYSIS OF WATER openbook</t>
  </si>
  <si>
    <t>OpenBook</t>
  </si>
  <si>
    <t>515 105-165 : STATISTICS FOR INFORMATION TECHNOLOGY / 515 201-59 กลุ่ม 2 (Lab)</t>
  </si>
  <si>
    <t>511 106-165 : CALCULUS FOR BIOLOGICAL SCIENTISTS I / 511 112-162-167</t>
  </si>
  <si>
    <t>512 315-165 : PLANT TAXONOMY (ฟ้า)</t>
  </si>
  <si>
    <t>517 101-165 : DIGITAL LITERACY AND CITIZENSHIP (Lab)</t>
  </si>
  <si>
    <t>519 241-165 : COMPUTATIONAL MATHEMATICS (Lab)</t>
  </si>
  <si>
    <t>511 243-2560-162 : THEORY OF EQUATIONS (ฟ้า)</t>
  </si>
  <si>
    <t xml:space="preserve">  515 511-264 : PROBABILITY AND STATISTICAL INFERENCE (Lab) ป.โท</t>
  </si>
  <si>
    <t>512 416-2560 : PLANT TISSUE AND CELL CULTURE LABORATORY (ฟ้า)</t>
  </si>
  <si>
    <t>515 101-165 : STATISTICAL THINKING (Lab)</t>
  </si>
  <si>
    <t>515 104-165 : STATISTICS FOR COMPUTING / 515 201--165-59 กลุ่ม 3 (Lect)</t>
  </si>
  <si>
    <t>515 105-165 : STATISTICS FOR INFORMATION TECHNOLOGY / 515 201-59 กลุ่ม 2 (Lect) (ฟ้า)</t>
  </si>
  <si>
    <t>520 231-165 : DATA ANALYTICS / 520 215-160</t>
  </si>
  <si>
    <t xml:space="preserve">  515 571-264 : STATISTICAL LEARNING (Lab) ป.โท</t>
  </si>
  <si>
    <t>515 203-165 : STATISTICS FOR BIOLOGICAL SCIENTISTS I (Lab)</t>
  </si>
  <si>
    <t>516 331-165 : AIR QUALITY ANALYSIS (ฟ้า)</t>
  </si>
  <si>
    <t>515 211-2560 : STATISTICAL INFERENCE I (ฟ้า)</t>
  </si>
  <si>
    <t>515 273-165 : STATISTICS FOR DATA SCIENCE (Lab)</t>
  </si>
  <si>
    <t>517 111-165 : COMPUTER PROGRAMMING FOR DATA SCIENTISTS / 517 123-2561</t>
  </si>
  <si>
    <t>514 202-165 : ELECTRONICS (ส้ม)</t>
  </si>
  <si>
    <t>สีส้ม</t>
  </si>
  <si>
    <t>519 451-2560 : FINITE DIFFERENCE METHODS AND APPLICATIONS (ฟ้า)</t>
  </si>
  <si>
    <t>520 231-165 : DATA ANALYTICS / 520 215-160 (Lab)</t>
  </si>
  <si>
    <t>522 363-2561-165 : UNSUPERVISED MACHINE LEARNING (Lab)</t>
  </si>
  <si>
    <t>517 311-2560-165 : ALGORITHM ANALYSIS AND DESIGN (ฟ้า)</t>
  </si>
  <si>
    <t>520 321-2560-165 : DATABASE SYSTEM ADMINISTRATION (ส้ม)</t>
  </si>
  <si>
    <t>511 221-2560-165 : DIFFERENTIAL EQUATIONS (ฟ้า)</t>
  </si>
  <si>
    <t>513 331-2560-165 : ANALYTICAL CHEMISTRY III</t>
  </si>
  <si>
    <t>515 273-165 : STATISTICS FOR DATA SCIENCE openbook</t>
  </si>
  <si>
    <t>516 420-2560 : ENVIRONMENTAL TOXICOLOGY openbook</t>
  </si>
  <si>
    <t>514 301-165 : WAVES AND VIBRATIONS (ฟ้า)</t>
  </si>
  <si>
    <t>517 121-2560-165 : COMPUTER PROGRAMMING SKILL I (Lab)</t>
  </si>
  <si>
    <t>512 462-2560 : CYTOGENETICS (ส้ม)</t>
  </si>
  <si>
    <t>513 441-2560 : BIOCHEMISTRY II (ฟ้า)</t>
  </si>
  <si>
    <t>511 151-165 : PROBLEM SOLVING SKILLS DEVELOPMENT THROUGH MATHEMATICAL GAMES (ฟ้า)</t>
  </si>
  <si>
    <t>511 206-2560 : ENGINEERING MATHEMATICS / 511 282-55 (ฟ้า)</t>
  </si>
  <si>
    <t>515 261-2560-165 : STATISTICAL PROGRAMMING openbook</t>
  </si>
  <si>
    <t>515 321-165 : EXPERIMENTAL DESIGN AND ANALYSIS (Lab)</t>
  </si>
  <si>
    <t>518 301-165 : IMMUNOLOGY / 518 305-2560</t>
  </si>
  <si>
    <t>520 341-2560 : INTERNET AND WORLD WIDE WEB TECHNOLOGY AND PROGRAMMING (Lect)</t>
  </si>
  <si>
    <t>524 271-166 : FOUNDATION OF COMPUTER AND INFORMATICS (ฟ้า)</t>
  </si>
  <si>
    <t>511 244-2561-165 : LINEAR ALGEBRA FOR DATA SCIENTISTS (Lab)</t>
  </si>
  <si>
    <t>523 301-165 : QUALITY MANAGEMENT SYSTEM IN INDUSTRY (ฟ้า)</t>
  </si>
  <si>
    <t>514 441-2560 : RENEWABLE  ENERGY (ฟ้า)</t>
  </si>
  <si>
    <t>515 231-2560 : PROBABILITY / 515 232-2560-165</t>
  </si>
  <si>
    <t>515 261-2560 : STATISTICAL PROGRAMMING (Lab) openbook</t>
  </si>
  <si>
    <t>516 311-2560 : HAZARDOUS WASTE MANAGEMENT openbook</t>
  </si>
  <si>
    <t>518 302-165 : IMMUNOLOGY LABORATORY / 518 306-2560</t>
  </si>
  <si>
    <t>519 362-2560 : INTRODUCTION TO FINANCIAL MATHEMATICS / 519 362-165 (ฟ้า)</t>
  </si>
  <si>
    <t>520 341-2560 : INTERNET AND WORLD WIDE WEB TECHNOLOGY AND PROGRAMMING (Lab)</t>
  </si>
  <si>
    <t>511 241-2560-165 : LINEAR ALGEBRA I / 511 242-2560</t>
  </si>
  <si>
    <t>515 222-2560 : APPLIED NONPARAMETRIC STATISTICS (Lab) openbook</t>
  </si>
  <si>
    <t>516 336-2560 : NOISE POLLUTION AND VIBRATION (ฟ้า)</t>
  </si>
  <si>
    <t>518 401-2560 : INTRODUCTION TO BIOINFORMATICS (Lab)</t>
  </si>
  <si>
    <t>519 161-165 : BUSINESS MATHEMATICS AND ANALYSIS (Lab)</t>
  </si>
  <si>
    <t>511 321-2560-165 : PARTIAL DIFFERENTIAL EQUATIONS (ฟ้า)</t>
  </si>
  <si>
    <t>519 361-165 : LINEAR PROGRAMMING (ส้ม)</t>
  </si>
  <si>
    <t>514 201-165 : MECHANICS I (ฟ้า)</t>
  </si>
  <si>
    <t>515 323-165 : PREDICTIVE MODELING TECHNIQUES (Lab) openbook</t>
  </si>
  <si>
    <t>518 311-2560 : MUSHROOM BIOLOGY (ฟ้า)</t>
  </si>
  <si>
    <t>515 311-2560 : STATISTICAL INFERENCE II (ฟ้า)</t>
  </si>
  <si>
    <t>514 102-55-2560-162-165 : GENERAL PHYSICS II (ฟ้า)</t>
  </si>
  <si>
    <t>516 270-2560-165 : ENVIRONMENTAL ECOLOGY openbook</t>
  </si>
  <si>
    <t>517 341-160 : COMPUTER NETWORK ARCHITECTURE AND TECHNOLOGY / 520 342-2560 (Lect)</t>
  </si>
  <si>
    <t>517 431-165 : MACHINE LEARNING / 517 482-2560 / 520 482-160</t>
  </si>
  <si>
    <t>511 246-165 : LINEAR ALGEBRA WITH APPLICATION (Lab)</t>
  </si>
  <si>
    <t>SU 131-162 : INTRODUCTION TO INFORMATION MANAGEMENT / SU 147-166 (Lab)</t>
  </si>
  <si>
    <t>511 331-2560 : MATHEMATICAL ANALYSIS (ฟ้า)</t>
  </si>
  <si>
    <t>514 204-165 : GENERAL PHYSICS III (ฟ้า)</t>
  </si>
  <si>
    <t>517 321-2560-165 : PRINCIPLES OF PROGRAMMING LANGUAGES openbook</t>
  </si>
  <si>
    <t>515 322-165 : EXPLORATORY DATA ANALYSIS AND DATA VISUALIZATION (Lab)</t>
  </si>
  <si>
    <t>517 341-160 : COMPUTER NETWORK ARCHITECTURE AND TECHNOLOGY / 520 342-2560 (Lab)</t>
  </si>
  <si>
    <t>517 222-165 : COMPUTER ORGANIZATION AND ARCHITECTURE (ฟ้า)</t>
  </si>
  <si>
    <t>511 251-162-165 : NUMBER THEORY I (ฟ้า)</t>
  </si>
  <si>
    <t>513 352-2560 : ADVANCED ORGANIC CHEMISTRY II (ฟ้า)</t>
  </si>
  <si>
    <t>515 351-165 : FUNDAMENTALS OF ACTUARIAL MATHEMATICS (ส้ม)</t>
  </si>
  <si>
    <t>514 356-2560 : INTRODUCTION TO MATERIALS CHARACTERIZATION (ฟ้า)</t>
  </si>
  <si>
    <t>519 391-165 : RESEARCH METHODOLOGY openbook</t>
  </si>
  <si>
    <t>514 302-165 : INTRODUCTION TO SOLID STATE PHYSICS (ฟ้า)</t>
  </si>
  <si>
    <t>520 442-160 : WEB SERVICE (Lab)</t>
  </si>
  <si>
    <t>520 212-2560 : LAWS AND ETHICS IN INFORMATION TECHNOLOGY / 522 301-2561-165</t>
  </si>
  <si>
    <t>521 301-162 : ELECTRICITY and MAGNETISM (ฟ้า)</t>
  </si>
  <si>
    <t>517 211-2560-165 : DATA STRUCTURES (Lect)</t>
  </si>
  <si>
    <t>520 213-2560-165 : FUNDAMENTALS OF DATA STRUCTURES AND APPLICATIONS (lect)</t>
  </si>
  <si>
    <t>512 314-165 : PLANT PHYSIOLOGY LABORATORY (ฟ้า)</t>
  </si>
  <si>
    <t>519 331-165 : INTRODUCTION TO STOCHASTIC MODELS (ฟ้า)</t>
  </si>
  <si>
    <t>520 213-2560-165 : FUNDAMENTALS OF DATA STRUCTURES AND APPLICATIONS (lab)</t>
  </si>
  <si>
    <t>520 333-2560 : DATA MINING / 522 355-2561 / 522 356-165</t>
  </si>
  <si>
    <t xml:space="preserve"> 514 342-2560 : SOLAR CELL TECHNOLOGY (ฟ้า)</t>
  </si>
  <si>
    <t>517 211-2560-165 : DATA STRUCTURES (Lab)</t>
  </si>
  <si>
    <t>513 484-2560 : SELECTED TOPICS IN BIOCHEMISTRY (ฟ้า)</t>
  </si>
  <si>
    <t>513 333-2560-165 : ANALYTICAL CHEMISTRY LABORATORY III</t>
  </si>
  <si>
    <t>515 102-167 : STATISTICS FOR MATHEMATICS TEACHERS I openbook</t>
  </si>
  <si>
    <t>511 103-165 : CALCULUS FOR BIOLOGICAL SCIENTISTS อ.สิทธิเศรษฐ์</t>
  </si>
  <si>
    <t>511 103-165 : CALCULUS FOR BIOLOGICAL SCIENTISTS / 511 113-165 อ.จิตติศักดิ์</t>
  </si>
  <si>
    <t>514 343-2560 : WIND ENERGY (ฟ้า)</t>
  </si>
  <si>
    <t>517 465-165 : FEATURE ENGINEERING / 517 481-2560 / 520 485-2560 / 522 352-2561 (Lect)</t>
  </si>
  <si>
    <t>515 102-167 : STATISTICS FOR MATHEMATICS TEACHERS I (Lab) openbook</t>
  </si>
  <si>
    <t>512 313-2560-165 : PLANT PHYSIOLOGY (ฟ้า)</t>
  </si>
  <si>
    <t>521 303-162 : WAVES (ส้ม)</t>
  </si>
  <si>
    <t>515 421-2560 : APPLIED MULTIVARIATE ANALYSIS (Lab) openbook</t>
  </si>
  <si>
    <t>516 302-2560 : BASIC REMOTE SENSING (ฟ้า)</t>
  </si>
  <si>
    <t>517 465-165 : FEATURE ENGINEERING / 517 481-2560 / 520 485-2560 / 522 352-2561 (Lab)</t>
  </si>
  <si>
    <t>รวม                        จำนวน............ซองห้องสอบ..........ห้อง</t>
  </si>
  <si>
    <t>ใบส่งต้นฉบับและรับข้อสอบกลับ</t>
  </si>
  <si>
    <t>สอบกลางภาคต้น ปีการศึกษา 2567 (31 ส.ค. - 8 ก.ย. 2567)</t>
  </si>
  <si>
    <t>ref</t>
  </si>
  <si>
    <t>hr</t>
  </si>
  <si>
    <t>วิชา</t>
  </si>
  <si>
    <t>ผู้สอน</t>
  </si>
  <si>
    <t>นศ</t>
  </si>
  <si>
    <t>เซ็นส่ง</t>
  </si>
  <si>
    <t>วันส่ง</t>
  </si>
  <si>
    <t>เซ็นรับ</t>
  </si>
  <si>
    <t>วันรับ</t>
  </si>
  <si>
    <t>ซอง</t>
  </si>
  <si>
    <t>สุธินี เกิดเทพ</t>
  </si>
  <si>
    <t>สุชารัตน์ สนองเกียรติ</t>
  </si>
  <si>
    <t>ประหยัด แสงงาม</t>
  </si>
  <si>
    <t>ธรรมธาดา เขมะรัชตกำธร</t>
  </si>
  <si>
    <t>ผกามาส พะวงษ์</t>
  </si>
  <si>
    <t>ธีระเดช ไหลสุพรรณวงศ์</t>
  </si>
  <si>
    <t>กรกช ชั้นจิรกุล</t>
  </si>
  <si>
    <t>สุธาทิพย์ อำนวยสิน</t>
  </si>
  <si>
    <t>ชญาดา โชติศรีศุภรัตน์</t>
  </si>
  <si>
    <t>วัสรา รอดเหตุภัย</t>
  </si>
  <si>
    <t>ปานใจ ธารทัศนวงศ์</t>
  </si>
  <si>
    <t>อรวรรณ เชาวลิต</t>
  </si>
  <si>
    <t>ชนากานต์ ทองสุข</t>
  </si>
  <si>
    <t>รัตนา ศรีทัศน์</t>
  </si>
  <si>
    <t>ประพันธ์พงศ์ พงศ์ศรีเอี่ยม</t>
  </si>
  <si>
    <t>มูฮำหมัด นิยมเดชา</t>
  </si>
  <si>
    <t>วยา พุทธวงศ์</t>
  </si>
  <si>
    <t>คทา ประดิษฐวงศ์</t>
  </si>
  <si>
    <t>วิทวัส หาญดี</t>
  </si>
  <si>
    <t>กุลนาถ อบสุวรรณ</t>
  </si>
  <si>
    <t>กนกวรรณ เจริญกิจอมร</t>
  </si>
  <si>
    <t>สุมนมาลย์ จันทร์เอี่ยม</t>
  </si>
  <si>
    <t>ดุสิต ชัยประสิทธิกุล</t>
  </si>
  <si>
    <t>วรรณรัตน์ รุ่งโรจน์ธีระ</t>
  </si>
  <si>
    <t>พิรดา สุมานนท์</t>
  </si>
  <si>
    <t>อภิญญา ธาตุสุวรรณ์</t>
  </si>
  <si>
    <t>วีณาวดี ม่วงอ้น</t>
  </si>
  <si>
    <t>พัชรี สัมฤทธิ์นรพงศ์</t>
  </si>
  <si>
    <t>มาลินี ชัยยะ</t>
  </si>
  <si>
    <t>กรัญญา สิทธิสงวน</t>
  </si>
  <si>
    <t>515 511-264 : PROBABILITY AND STATISTICAL INFERENCE (Lab) ป.โท</t>
  </si>
  <si>
    <t>ชนกานต์ สังข์บุญชู</t>
  </si>
  <si>
    <t>ฉันทนา วัยนิพิฐพงษ์</t>
  </si>
  <si>
    <t>รุ่งรัตน์ วัดตาล</t>
  </si>
  <si>
    <t>จิราภา ลิ้มบุพศิริพร</t>
  </si>
  <si>
    <t>กมลชนก พานิชการ</t>
  </si>
  <si>
    <t>สุนีย์ พงษ์พินิจภิญโญ</t>
  </si>
  <si>
    <t>515 571-264 : STATISTICAL LEARNING (Lab) ป.โท</t>
  </si>
  <si>
    <t>อุดมลักษณ์ เกียรติชูพิพัฒน์</t>
  </si>
  <si>
    <t>ปิยพล ไพจิตร</t>
  </si>
  <si>
    <t>ยศเวท สิริจามร</t>
  </si>
  <si>
    <t>วิภาวรรณ เล้าอรุณ</t>
  </si>
  <si>
    <t>ศศิประภา หิริโอตป์</t>
  </si>
  <si>
    <t>กรรณิกาณ์ หิรัญกสิ</t>
  </si>
  <si>
    <t>โอภาส วงษ์ทวีทรัพย์</t>
  </si>
  <si>
    <t>ณัฐโชติ พรหมฤทธิ์</t>
  </si>
  <si>
    <t>บดินทร์ ดำรงศักดิ์</t>
  </si>
  <si>
    <t>ปัญญนัท อ้นพงษ์</t>
  </si>
  <si>
    <t>พรทรัพย์ พรสวัสดิ์</t>
  </si>
  <si>
    <t>อุรารักษ์ ร่มรื่น</t>
  </si>
  <si>
    <t>รัชดาพร คณาวงษ์</t>
  </si>
  <si>
    <t>สืบสกุล อยู่ยืนยง</t>
  </si>
  <si>
    <t>กัมปนาท ธาราภูมิ</t>
  </si>
  <si>
    <t>ศิริรัตน์ ชูสกุลเกรียง</t>
  </si>
  <si>
    <t>อุมารัจน์ สันติสุขเกษม</t>
  </si>
  <si>
    <t>ชวรัตน์ ศิริวงษ์</t>
  </si>
  <si>
    <t>สุพรรณญิกา เส็งสาย</t>
  </si>
  <si>
    <t>เฉลิมพงศ์ วรวรรโณทัย</t>
  </si>
  <si>
    <t>สมพงค์ จิตต์มั่น</t>
  </si>
  <si>
    <t>ธนากร ปริญญาศาสตร์</t>
  </si>
  <si>
    <t>กิตติมา ไวไธสง</t>
  </si>
  <si>
    <t>ธงชัย เตโชวิศาล</t>
  </si>
  <si>
    <t>เสฐลัทธ์ รอดเหตุภัย</t>
  </si>
  <si>
    <t>สิรักข์ แก้วจำนงค์</t>
  </si>
  <si>
    <t>อรวรรณ บริรักษ์</t>
  </si>
  <si>
    <t>514 441-2560 : RENEWABLE ENERGY (ฟ้า)</t>
  </si>
  <si>
    <t>กรทิพย์ โต๊ะสิงห์</t>
  </si>
  <si>
    <t>มัลลิกา ปัญญาคะโป</t>
  </si>
  <si>
    <t>กลศ พัฒนะรพีเลิศ</t>
  </si>
  <si>
    <t>ชีวิตา สุวรรณชวลิต</t>
  </si>
  <si>
    <t>ทิวดี มุสันเทียะ</t>
  </si>
  <si>
    <t>อรทัย เขียวพุ่ม</t>
  </si>
  <si>
    <t>รัฐพล อ้นแฉ่ง</t>
  </si>
  <si>
    <t>วรรณภา พนิตสุภากมล</t>
  </si>
  <si>
    <t>สวรรยา ศกุนตะเสฐียร</t>
  </si>
  <si>
    <t>เอกพันธ์ บางยี่ขัน</t>
  </si>
  <si>
    <t>วิวิชชุตา เดชรักษา</t>
  </si>
  <si>
    <t>กุลทัศน์ สุวัฒน์พิพัฒน์</t>
  </si>
  <si>
    <t>วรภาส พรมเสน</t>
  </si>
  <si>
    <t>สุจินันท์ มีไล้</t>
  </si>
  <si>
    <t>ดุจดาว จารุจิตติพันธ์</t>
  </si>
  <si>
    <t>พชรพล อินทุเวศ</t>
  </si>
  <si>
    <t>ปรีชญา สัญญฑิตย์</t>
  </si>
  <si>
    <t>สมเจตน์ ชัยยะ</t>
  </si>
  <si>
    <t>พรทิพย์ ทองยิ่ง</t>
  </si>
  <si>
    <t>ทัศนวรรณ ศูนย์กลาง</t>
  </si>
  <si>
    <t>พัณณิ์ภาริษา ของทิพย์</t>
  </si>
  <si>
    <t>ปรารถนา เผือกวิไล</t>
  </si>
  <si>
    <t>ชลกรานต์ อวยจินดา</t>
  </si>
  <si>
    <t>อภิเษก หงษ์วิทยากร</t>
  </si>
  <si>
    <t>ณัฐวรรณ วรวรรโณทัย</t>
  </si>
  <si>
    <t>กิตติยาพร สิงห์สัมพันธ์</t>
  </si>
  <si>
    <t>อดิศักดิ์ เม้ามีศรี</t>
  </si>
  <si>
    <t>มนตรี เอี่ยมพนากิจ</t>
  </si>
  <si>
    <t>กนกอร ระย้านิล</t>
  </si>
  <si>
    <t>สุนทร สุวอเขียว</t>
  </si>
  <si>
    <t>อิสระ มะศิริ</t>
  </si>
  <si>
    <t>สุมามาลย์ บันเทิง</t>
  </si>
  <si>
    <t>กฤษณะ สีพนมวัน</t>
  </si>
  <si>
    <t>ศรัณยพร มากทรัพย์</t>
  </si>
  <si>
    <t>ประสาน ปานแก้ว</t>
  </si>
  <si>
    <t>514 342-2560 : SOLAR CELL TECHNOLOGY (ฟ้า)</t>
  </si>
  <si>
    <t>สิทธิเศรษฐ์ พลเวียง</t>
  </si>
  <si>
    <t>511 114-165 : GENERAL MATHEMATICS (ฟ้า)</t>
  </si>
  <si>
    <t>สินีนุช สุวรรณาภิชาติ</t>
  </si>
  <si>
    <t>จิตติศักดิ์ รักบุตร</t>
  </si>
  <si>
    <t>พัชราพร พงษ์พัฒน์</t>
  </si>
  <si>
    <t>ณิชนันทน์ เทพศุภรังษิกุล</t>
  </si>
  <si>
    <t>อรประภา ภุมมะกาญจนะ โรแบร์</t>
  </si>
  <si>
    <t>เสาวลักษณ์ อร่ามพงศานุวัต</t>
  </si>
  <si>
    <t>no</t>
  </si>
  <si>
    <t>edate</t>
  </si>
  <si>
    <t>etime</t>
  </si>
  <si>
    <t>course</t>
  </si>
  <si>
    <t>num_st</t>
  </si>
  <si>
    <t>Room</t>
  </si>
  <si>
    <t>Proctor</t>
  </si>
  <si>
    <t>เอกพันธ์ บางยี่ขัน , นันทนิตย์ วานิชาชีวะ</t>
  </si>
  <si>
    <t>กรพรรณ เศวตสุวรรณกุล , กฤษณา จันทร์เจริญ</t>
  </si>
  <si>
    <t>อดิศักดิ์ เม้ามีศรี , ชัยวัฒน์ ศรีสร้อยแก้ว</t>
  </si>
  <si>
    <t>ธรรมธาดา เขมะรัชตกำธร , สุภนิดา คำบาง , พันธ์วริศ บุญประจันทร์</t>
  </si>
  <si>
    <t>ผกามาส พะวงษ์ , ณัชปภา สงวนวงศ์ , ขนิษฐา เมฆสวัสดิ์ , กฤช เศรษฐการ , พัฏฐ์ณิชา พัฒนศิริ</t>
  </si>
  <si>
    <t>สุภาภรณ์ ธรรมประทีป , ธาริณี กฤษฎาพรอนันท์ , ชนากานต์ เทพกรณ์ , ธีระเดช ไหลสุพรรณวงศ์ , วรรณสิริ ล่าบ้านหลวง , ภัทราพร เม้ามีศรี</t>
  </si>
  <si>
    <t>รัตนา ศรีทัศน์ , ภัททิยา นิมิตรนิวัฒน์</t>
  </si>
  <si>
    <t>ณัฐพงศ์ ยิ่งยอดกุล , ศศิภา ตรงต่อมิตร</t>
  </si>
  <si>
    <t>สิราวรรณ สาสุข , มาริษา บำรุงเรือน , ภาณุพงษ์ ทองเปรม , ปิยาภรณ์ ทองพูล</t>
  </si>
  <si>
    <t>พลเสรส์ รมอิสรส , ชญาดา โชติศรีศุภรัตน์</t>
  </si>
  <si>
    <t>เสฐลัทธ์ รอดเหตุภัย , วัสรา รอดเหตุภัย , สานนท์ ยะหอม</t>
  </si>
  <si>
    <t>สาวิณี ปฐมสุริยะพร , อวัตถา แก้วหานาม , วรันธร สอนสงวน</t>
  </si>
  <si>
    <t>อรวรรณ เชาวลิต , สรัญณัชช์ บุญเปรม , จิราภรณ์ สุขนิพิฐพงษ์</t>
  </si>
  <si>
    <t>เอกพันธ์ บางยี่ขัน , ชนากานต์ ทองสุข , ชญาดา โชติศรีศุภรัตน์ , กฤษณา จันทร์เจริญ , ศศิภา ตรงต่อมิตร , สรัญณัชช์ บุญเปรม</t>
  </si>
  <si>
    <t>อรวรรณ เชาวลิต , ขนิษฐา เมฆสวัสดิ์</t>
  </si>
  <si>
    <t>ผกามาส พะวงษ์ , อวัตถา แก้วหานาม</t>
  </si>
  <si>
    <t>สุภนิดา คำบาง , ธีระเดช ไหลสุพรรณวงศ์</t>
  </si>
  <si>
    <t>ชนากานต์ เทพกรณ์ , มาริษา บำรุงเรือน</t>
  </si>
  <si>
    <t>รัตนา ศรีทัศน์ , ภัททิยา นิมิตรนิวัฒน์ , ชัยวัฒน์ ศรีสร้อยแก้ว , พันธ์วริศ บุญประจันทร์ , วรรณสิริ ล่าบ้านหลวง</t>
  </si>
  <si>
    <t>พลเสรส์ รมอิสรส , ธรรมธาดา เขมะรัชตกำธร , พัฏฐ์ณิชา พัฒนศิริ , ปิยาภรณ์ ทองพูล</t>
  </si>
  <si>
    <t>511 482-2560 : SELECTED TOPICS IN MATHEMATICS II (ฟ้า)</t>
  </si>
  <si>
    <t>511 485-162 : SELECTED TOPICS IN MATHEMATICS STUDY (ฟ้า)</t>
  </si>
  <si>
    <t>สิราวรรณ สาสุข , ภาณุพงษ์ ทองเปรม</t>
  </si>
  <si>
    <t>กรพรรณ เศวตสุวรรณกุล , นันทนิตย์ วานิชาชีวะ , ศักดิ์ชัย เภาด้วง , ณัฐพงศ์ ยิ่งยอดกุล , จิราภรณ์ สุขนิพิฐพงษ์</t>
  </si>
  <si>
    <t>สาวิณี ปฐมสุริยะพร , กฤช เศรษฐการ , ภัทราพร เม้ามีศรี</t>
  </si>
  <si>
    <t>สุภาภรณ์ ธรรมประทีป , ธาริณี กฤษฎาพรอนันท์ , วรันธร สอนสงวน , อดิศักดิ์ เม้ามีศรี</t>
  </si>
  <si>
    <t>กนกวรรณ เจริญกิจอมร , พันธ์วริศ บุญประจันทร์ , สรัญณัชช์ บุญเปรม</t>
  </si>
  <si>
    <t>สุมนมาลย์ จันทร์เอี่ยม , มิรันตรี ใจแสน</t>
  </si>
  <si>
    <t>กรพรรณ เศวตสุวรรณกุล , อุดมลักษณ์ เกียรติชูพิพัฒน์</t>
  </si>
  <si>
    <t>วรรณรัตน์ รุ่งโรจน์ธีระ , ยุทธศักดิ์ บุญรอด , สุภาภรณ์ ธรรมประทีป , ธาริณี กฤษฎาพรอนันท์ , ศศิภา ตรงต่อมิตร , พัฏฐ์ณิชา พัฒนศิริ</t>
  </si>
  <si>
    <t>รัตนาวดี สระทองจิน , ชนากานต์ เทพกรณ์</t>
  </si>
  <si>
    <t>ณัฐพงศ์ ยิ่งยอดกุล , จิราภรณ์ สุขนิพิฐพงษ์ , อภิญญา ธาตุสุวรรณ์</t>
  </si>
  <si>
    <t>สานนท์ ยะหอม , วีณาวดี ม่วงอ้น , ปัญญนัท อ้นพงษ์ , อุทัย คันธะมาลา</t>
  </si>
  <si>
    <t>สาวิณี ปฐมสุริยะพร , พัชรี สัมฤทธิ์นรพงศ์</t>
  </si>
  <si>
    <t>พัฒนา คร้ามแสง , เอกพบ ขจรไพศาล , มาลินี ชัยยะ , กรัญญา สิทธิสงวน , ภัทราพร เม้ามีศรี</t>
  </si>
  <si>
    <t>515 511-264 : PROBABILITY AND STATISTICAL INFERENCE ป.โท</t>
  </si>
  <si>
    <t>รัตนาวดี สระทองจิน , พัชรี สัมฤทธิ์นรพงศ์ , พันธ์วริศ บุญประจันทร์ , สรัญณัชช์ บุญเปรม , จิราภรณ์ สุขนิพิฐพงษ์ , ภัทราพร เม้ามีศรี</t>
  </si>
  <si>
    <t>กนกวรรณ เจริญกิจอมร , ศศิภา ตรงต่อมิตร</t>
  </si>
  <si>
    <t>มาลินี ชัยยะ , ณัฐพงศ์ ยิ่งยอดกุล</t>
  </si>
  <si>
    <t>วรรณรัตน์ รุ่งโรจน์ธีระ , ธาริณี กฤษฎาพรอนันท์</t>
  </si>
  <si>
    <t>กมลชนก พานิชการ , ชัยวัฒน์ ศรีสร้อยแก้ว</t>
  </si>
  <si>
    <t>สาวิณี ปฐมสุริยะพร , กรัญญา สิทธิสงวน , มิรันตรี ใจแสน</t>
  </si>
  <si>
    <t>515 105-165 : STATISTICS FOR INFORMATION TECHNOLOGY (ฟ้า)</t>
  </si>
  <si>
    <t>กรพรรณ เศวตสุวรรณกุล , สุภาภรณ์ ธรรมประทีป , สิราวรรณ สาสุข , วีณาวดี ม่วงอ้น , ชนากานต์ เทพกรณ์</t>
  </si>
  <si>
    <t>515 201-59 : ELEMENTARY STATISTICS กลุ่ม 2 (ฟ้า)</t>
  </si>
  <si>
    <t>515 571-264 : STATISTICAL LEARNING ป.โท</t>
  </si>
  <si>
    <t>ปิยพล ไพจิตร , พัณณิ์ภาริษา ของทิพย์</t>
  </si>
  <si>
    <t>คทา ประดิษฐวงศ์ , ผ่องศรี เผ่าภูรี</t>
  </si>
  <si>
    <t>เดชา สุขมา , ณิมนาราห์ อยู่คงแก้ว , ยศเวท สิริจามร , เชาวฤทธิ์ กาบแก้ว , ศรันย์ภัทร์ สุวรรณรัตน์ , ณัฐพงศ์ ยิ่งยอดกุล</t>
  </si>
  <si>
    <t>กุลนาถ อบสุวรรณ , ธนาพร ชื่นอิ่ม , ศักดิ์ชัย เภาด้วง , ภัคพล ท้าวเวชสุวรรณ , พรวิภา พวงบุบผา</t>
  </si>
  <si>
    <t>กัมปนาท ธาราภูมิ , วันวิวาห์ ตุ้มน้อย , ธัญนันท์ วรรณธง บรอคเคิลเฮอร์สท์ , สิริพร บริรักวิสิฐศักดิ์</t>
  </si>
  <si>
    <t>ดาวรุ่ง สังข์ทอง , ปรารถนา เผือกวิไล , อุมารัจน์ สันติสุขเกษม , สุธาทิพย์ อำนวยสิน</t>
  </si>
  <si>
    <t>วราภรณ์ เจียนระลึก , พิรดา สุมานนท์</t>
  </si>
  <si>
    <t>กรทิพย์ โต๊ะสิงห์ , นงนุช กำลังแพทย์</t>
  </si>
  <si>
    <t>กรรณิกาณ์ หิรัญกสิ , ชัยวัฒน์ ศรีสร้อยแก้ว</t>
  </si>
  <si>
    <t>บดินทร์ ดำรงศักดิ์ , ปิยาภา จันทร์มล</t>
  </si>
  <si>
    <t>อภิเษก หงษ์วิทยากร , วิรัญญา สุทัศนวิชานนะ</t>
  </si>
  <si>
    <t>ณัชปภา สงวนวงศ์ , ชวรัตน์ ศิริวงษ์</t>
  </si>
  <si>
    <t>สินีนุช สุวรรณาภิชาติ , บุญลักษณ์ นามนวน , ปัญญนัท อ้นพงษ์ , พันธ์วริศ บุญประจันทร์ , สรัญณัชช์ บุญเปรม</t>
  </si>
  <si>
    <t>กนก หวลกำเนิด , พชรพล อินทุเวศ</t>
  </si>
  <si>
    <t>สานนท์ ยะหอม , อุทัย คันธะมาลา</t>
  </si>
  <si>
    <t>ทัศนวรรณ ศูนย์กลาง , กรพรรณ เศวตสุวรรณกุล , สุนีย์ พงษ์พินิจภิญโญ</t>
  </si>
  <si>
    <t>รัชดาพร คณาวงษ์ , เสาวลักษณ์ อร่ามพงศานุวัต</t>
  </si>
  <si>
    <t>คทา ประดิษฐวงศ์ , ดาวรุ่ง สังข์ทอง , ผ่องศรี เผ่าภูรี , กลศ พัฒนะรพีเลิศ , วิรัญญา สุทัศนวิชานนะ , สรัญณัชช์ บุญเปรม</t>
  </si>
  <si>
    <t>กัมปนาท ธาราภูมิ , วรกฤษณ์ ศุภพร</t>
  </si>
  <si>
    <t>สิราวรรณ สาสุข , วิวิชชุตา เดชรักษา , สุธาทิพย์ อำนวยสิน , พรวิภา พวงบุบผา , พันธ์วริศ บุญประจันทร์</t>
  </si>
  <si>
    <t>นงนุช กำลังแพทย์ , ธัญนันท์ วรรณธง บรอคเคิลเฮอร์สท์ , ศรันย์ภัทร์ สุวรรณรัตน์ , ชลกรานต์ อวยจินดา</t>
  </si>
  <si>
    <t>กุลนาถ อบสุวรรณ , พลเสรส์ รมอิสรส , ปรารถนา เผือกวิไล</t>
  </si>
  <si>
    <t>ภัคพล ท้าวเวชสุวรรณ , ณัฐพงศ์ ยิ่งยอดกุล , พิรดา สุมานนท์</t>
  </si>
  <si>
    <t>ศิริรัตน์ ชูสกุลเกรียง , เชาวฤทธิ์ กาบแก้ว , บุญลักษณ์ นามนวน</t>
  </si>
  <si>
    <t>เดชา สุขมา , ปิยพล ไพจิตร</t>
  </si>
  <si>
    <t>ปรีชญา สัญญฑิตย์ , ดุสิต ชัยประสิทธิกุล</t>
  </si>
  <si>
    <t>กนก หวลกำเนิด , อุมารัจน์ สันติสุขเกษม</t>
  </si>
  <si>
    <t>ธนาพร ชื่นอิ่ม , ณิมนาราห์ อยู่คงแก้ว</t>
  </si>
  <si>
    <t>วราภรณ์ เจียนระลึก , ชวรัตน์ ศิริวงษ์</t>
  </si>
  <si>
    <t>รัชดาพร คณาวงษ์ , บดินทร์ ดำรงศักดิ์</t>
  </si>
  <si>
    <t>สานนท์ ยะหอม , ปัญญนัท อ้นพงษ์</t>
  </si>
  <si>
    <t>ทัศนวรรณ ศูนย์กลาง , กรพรรณ เศวตสุวรรณกุล , อุทัย คันธะมาลา</t>
  </si>
  <si>
    <t>สิรักข์ แก้วจำนงค์ , ธนากร ปริญญาศาสตร์</t>
  </si>
  <si>
    <t>เสาวลักษณ์ อร่ามพงศานุวัต , ชัยวัฒน์ ศรีสร้อยแก้ว</t>
  </si>
  <si>
    <t>สุนีย์ พงษ์พินิจภิญโญ , พัณณิ์ภาริษา ของทิพย์</t>
  </si>
  <si>
    <t>วันวิวาห์ ตุ้มน้อย , ประพันธ์พงศ์ พงศ์ศรีเอี่ยม</t>
  </si>
  <si>
    <t>วยา พุทธวงศ์ , กลศ พัฒนะรพีเลิศ</t>
  </si>
  <si>
    <t>511 206-2560 : ENGINEERING MATHEMATICS (ฟ้า)</t>
  </si>
  <si>
    <t>ภาสวรรณ นพแก้ว , ธนากร ปริญญาศาสตร์</t>
  </si>
  <si>
    <t>511 282-55 : ENGINEERING MATHEMATICS (ฟ้า)</t>
  </si>
  <si>
    <t>กุลนาถ อบสุวรรณ , กรรณิกาณ์ หิรัญกสิ</t>
  </si>
  <si>
    <t>พรทิพย์ ศรีแดง , กิตติมา ไวไธสง</t>
  </si>
  <si>
    <t>สุจินันท์ มีไล้ , พจนา อินทะเตชะ , วรัญญู พูลสวัสดิ์ , ธนาพร ชื่นอิ่ม</t>
  </si>
  <si>
    <t>คทา ประดิษฐวงศ์ , นีลวรรณ พงศ์ศิลป์ , ปิยาภา จันทร์มล , นัฐธพล ยอดศิลป์</t>
  </si>
  <si>
    <t>วยา พุทธวงศ์ , วันวิวาห์ ตุ้มน้อย , พรทิพย์ ศรีแดง , ทักษวัน ทองอร่าม , ปิยาภรณ์ จิรวัชรเดช</t>
  </si>
  <si>
    <t>กรทิพย์ โต๊ะสิงห์ , สมพงค์ จิตต์มั่น , ปิยาภา จันทร์มล</t>
  </si>
  <si>
    <t>พจนา อินทะเตชะ , กิตติมา ไวไธสง , พรวิภา พวงบุบผา</t>
  </si>
  <si>
    <t>515 261-2560 : STATISTICAL PROGRAMMING openbook</t>
  </si>
  <si>
    <t>มัลลิกา ปัญญาคะโป , สาวิณี ปฐมสุริยะพร</t>
  </si>
  <si>
    <t>นีลวรรณ พงศ์ศิลป์ , กลศ พัฒนะรพีเลิศ , ประพันธ์พงศ์ พงศ์ศรีเอี่ยม</t>
  </si>
  <si>
    <t>519 362-2560 : INTRODUCTION TO FINANCIAL MATHEMATICS (ฟ้า)</t>
  </si>
  <si>
    <t>519 362-165 : MATHEMATICS FOR FINANCE (ฟ้า)</t>
  </si>
  <si>
    <t>ชีวิตา สุวรรณชวลิต , ชวรัตน์ ศิริวงษ์</t>
  </si>
  <si>
    <t>วรกฤษณ์ ศุภพร , สัจจาภรณ์ ไวจรรยา</t>
  </si>
  <si>
    <t>กนกอร ระย้านิล , สุมามาลย์ บรรเทิง , มนตรี เอี่ยมพนากิจ , รุ่งรัตน์ วัดตาล , กิตติมา ไวไธสง , สุธินี เกิดเทพ</t>
  </si>
  <si>
    <t>กรทิพย์ โต๊ะสิงห์ , วรัญญู พูลสวัสดิ์ , อรทัย เขียวพุ่ม , นีลวรรณ พงศ์ศิลป์ , บดินทร์ ดำรงศักดิ์</t>
  </si>
  <si>
    <t>515 222-2560 : APPLIED NONPARAMETRIC STATISTICS openbook</t>
  </si>
  <si>
    <t>รัฐพล อ้นแฉ่ง , ณัฐโชติ พรหมฤทธิ์ , ทักษวัน ทองอร่าม</t>
  </si>
  <si>
    <t>ธงชัย เตโชวิศาล , กรพรรณ เศวตสุวรรณกุล , สาวิณี ปฐมสุริยะพร , ปิยาภรณ์ จิรวัชรเดช</t>
  </si>
  <si>
    <t>วรรณภา พนิตสุภากมล , สานนท์ ยะหอม</t>
  </si>
  <si>
    <t>วรกฤษณ์ ศุภพร , พิรดา สุมานนท์</t>
  </si>
  <si>
    <t>วรัญญู พูลสวัสดิ์ , สุธินี เกิดเทพ</t>
  </si>
  <si>
    <t>วรรณภา พนิตสุภากมล , เดชา สุขมา , กิตติยาพร สิงห์สัมพันธ์ , ชวรัตน์ ศิริวงษ์ , ยุทธศักดิ์ บุญรอด , ทักษวัน ทองอร่าม</t>
  </si>
  <si>
    <t>515 323-165 : PREDICTIVE MODELING TECHNIQUES openbook</t>
  </si>
  <si>
    <t>พรทิพย์ ศรีแดง , อุรารักษ์ ร่มรื่น</t>
  </si>
  <si>
    <t>รัฐพล อ้นแฉ่ง , ณัฐโชติ พรหมฤทธิ์ , อรประภา ภุมมะกาญจนะ โรแบร์ , สัจจาภรณ์ ไวจรรยา , ปิยาภรณ์ จิรวัชรเดช</t>
  </si>
  <si>
    <t>วราพร ภาราดามิตร , ฉันทนา วัยนิพิฐพงษ์</t>
  </si>
  <si>
    <t>ศิริรัตน์ ชูสกุลเกรียง , สิทธิเศรษฐ์ พลเวียง</t>
  </si>
  <si>
    <t>สมพงค์ จิตต์มั่น , จิตนภา ศิริรักษ์</t>
  </si>
  <si>
    <t>รุ่งรัตน์ วัดตาล , วิวิชชุตา เดชรักษา</t>
  </si>
  <si>
    <t>รัชฎา บุญเต็ม , อมรฤทธิ์ ศรีนวล , ชีวิตา สุวรรณชวลิต</t>
  </si>
  <si>
    <t>วรภาส พรมเสน , บดินทร์ ดำรงศักดิ์ , บุญลักษณ์ นามนวน</t>
  </si>
  <si>
    <t>กรพรรณ เศวตสุวรรณกุล , สรัญณัชช์ บุญเปรม , พัชราพร พงษ์พัฒน์</t>
  </si>
  <si>
    <t>สุมามาลย์ บรรเทิง , อรทัย เขียวพุ่ม , กิตติยาพร สิงห์สัมพันธ์ , ยุทธศักดิ์ บุญรอด , พันธ์วริศ บุญประจันทร์</t>
  </si>
  <si>
    <t>อรประภา ภุมมะกาญจนะ โรแบร์ , พชรพล อินทุเวศ</t>
  </si>
  <si>
    <t>เสฐลัทธ์ รอดเหตุภัย , วัสรา รอดเหตุภัย , อุทัย คันธะมาลา</t>
  </si>
  <si>
    <t>นงนุช กำลังแพทย์ , สัจจาภรณ์ ไวจรรยา</t>
  </si>
  <si>
    <t>ทิวดี มุสันเทียะ , สมพงค์ จิตต์มั่น</t>
  </si>
  <si>
    <t>วรภาส พรมเสน , อมรฤทธิ์ ศรีนวล</t>
  </si>
  <si>
    <t>กรพรรณ เศวตสุวรรณกุล , ชนกานต์ สังข์บุญชู</t>
  </si>
  <si>
    <t>ฉันทนา วัยนิพิฐพงษ์ , พัลลภ คันธิยงค์ , ณิชนันทน์ สิรสุนทร</t>
  </si>
  <si>
    <t>วราพร ภาราดามิตร , อรทัย เขียวพุ่ม</t>
  </si>
  <si>
    <t>วิวิชชุตา เดชรักษา , ยศเวท สิริจามร</t>
  </si>
  <si>
    <t>ศิริรัตน์ ชูสกุลเกรียง , ชีวิตา สุวรรณชวลิต , จิตนภา ศิริรักษ์ , จาตุรงค์ ผลประเสริฐ</t>
  </si>
  <si>
    <t>รัชฎา บุญเต็ม , ณัฐวรรณ วรวรรโณทัย , พรทิพย์ ทองยิ่ง</t>
  </si>
  <si>
    <t>ทัศนวรรณ ศูนย์กลาง , สุมามาลย์ บรรเทิง , อรประภา ภุมมะกาญจนะ โรแบร์ , รุ่งรัตน์ วัดตาล</t>
  </si>
  <si>
    <t>พัณณิ์ภาริษา ของทิพย์ , ชัยวัฒน์ ศรีสร้อยแก้ว</t>
  </si>
  <si>
    <t>ธัญนันท์ วรรณธง บรอคเคิลเฮอร์สท์ , ปรารถนา เผือกวิไล</t>
  </si>
  <si>
    <t>ชนกานต์ สังข์บุญชู , ชัยวัฒน์ ศรีสร้อยแก้ว</t>
  </si>
  <si>
    <t>วิภาวรรณ เล้าอรุณ , ปิยพล ไพจิตร</t>
  </si>
  <si>
    <t>ณิมนาราห์ อยู่คงแก้ว , ชลกรานต์ อวยจินดา</t>
  </si>
  <si>
    <t>อุมารัจน์ สันติสุขเกษม , ภัคพล ท้าวเวชสุวรรณ</t>
  </si>
  <si>
    <t>อภิเษก หงษ์วิทยากร , วราภรณ์ เจียนระลึก</t>
  </si>
  <si>
    <t>ณัชปภา สงวนวงศ์ , พัลลภ คันธิยงค์ , เชาวฤทธิ์ กาบแก้ว , สุธินี เกิดเทพ , พันธ์วริศ บุญประจันทร์ , พัชราพร พงษ์พัฒน์</t>
  </si>
  <si>
    <t>วยา พุทธวงศ์ , พจนา อินทะเตชะ , ศักดิ์ชัย เภาด้วง , ศรันย์ภัทร์ สุวรรณรัตน์ , นัฐธพล ยอดศิลป์</t>
  </si>
  <si>
    <t>วราพร ภาราดามิตร , วิรัญญา สุทัศนวิชานนะ , ประพันธ์พงศ์ พงศ์ศรีเอี่ยม , เฉลิมพงศ์ วรวรรโณทัย , ณิชนันทน์ สิรสุนทร</t>
  </si>
  <si>
    <t>รัชฎา บุญเต็ม , จิตนภา ศิริรักษ์ , พชรพล อินทุเวศ</t>
  </si>
  <si>
    <t>ฉันทนา วัยนิพิฐพงษ์ , ณัฐวรรณ วรวรรโณทัย , จาตุรงค์ ผลประเสริฐ , ณัฐพงศ์ ยิ่งยอดกุล</t>
  </si>
  <si>
    <t>วรภาส พรมเสน , กิตติยาพร สิงห์สัมพันธ์</t>
  </si>
  <si>
    <t>กนกอร ระย้านิล , บุญลักษณ์ นามนวน</t>
  </si>
  <si>
    <t>มนตรี เอี่ยมพนากิจ , อภิญญา ธาตุสุวรรณ์</t>
  </si>
  <si>
    <t>เสาวลักษณ์ อร่ามพงศานุวัต , เอกพบ ขจรไพศาล</t>
  </si>
  <si>
    <t>วรรณภา พนิตสุภากมล , ภาสวรรณ นพแก้ว</t>
  </si>
  <si>
    <t>ดาวรุ่ง สังข์ทอง , รัฐพล อ้นแฉ่ง , สิราวรรณ สาสุข , สุธาทิพย์ อำนวยสิน</t>
  </si>
  <si>
    <t>เอกพบ ขจรไพศาล , ยศเวท สิริจามร</t>
  </si>
  <si>
    <t>มนตรี เอี่ยมพนากิจ , ณิชนันทน์ สิรสุนทร</t>
  </si>
  <si>
    <t>กัมปนาท ธาราภูมิ , สิราวรรณ สาสุข</t>
  </si>
  <si>
    <t>กนกอร ระย้านิล , พัลลภ คันธิยงค์ , กิตติยาพร สิงห์สัมพันธ์ , ณัฐวรรณ วรวรรโณทัย</t>
  </si>
  <si>
    <t>ผ่องศรี เผ่าภูรี , นัฐธพล ยอดศิลป์</t>
  </si>
  <si>
    <t>วรภาส พรมเสน , พัชราพร พงษ์พัฒน์</t>
  </si>
  <si>
    <t>บุญลักษณ์ นามนวน , ชลกรานต์ อวยจินดา</t>
  </si>
  <si>
    <t>ศักดิ์ชัย เภาด้วง , สุนทร สุวอเขียว , พรทิพย์ ทองยิ่ง , ชนากานต์ เทพกรณ์ , พัฏฐ์ณิชา พัฒนศิริ , มิรันตรี ใจแสน</t>
  </si>
  <si>
    <t>เอกพบ ขจรไพศาล , ธาริณี กฤษฎาพรอนันท์ , พันธ์วริศ บุญประจันทร์ , วรรณสิริ ล่าบ้านหลวง , จิราภรณ์ สุขนิพิฐพงษ์</t>
  </si>
  <si>
    <t>ณัชปภา สงวนวงศ์ , กุลทัศน์ สุวัฒน์พิพัฒน์ , ขนิษฐา เมฆสวัสดิ์ , ภัทราพร เม้ามีศรี</t>
  </si>
  <si>
    <t>ธนพล เจริญวงษ์ไพบูลย์ , สรัญณัชช์ บุญเปรม</t>
  </si>
  <si>
    <t>พัฒนาวิศว์ สว่างลาภ , รัตนาวดี สระทองจิน</t>
  </si>
  <si>
    <t>เดชา สุขมา , อังก์ศิริ ทิพยารมณ์ , สุภาภรณ์ ธรรมประทีป , จาตุรงค์ ผลประเสริฐ , ชนากานต์ ทองสุข</t>
  </si>
  <si>
    <t>พัฒนา คร้ามแสง , ยุทธศักดิ์ บุญรอด , วิทวัส หาญดี , ศศิภา ตรงต่อมิตร</t>
  </si>
  <si>
    <t>เฉลิมพงศ์ วรวรรโณทัย , ปิยาภรณ์ ทองพูล</t>
  </si>
  <si>
    <t>ประสาน ปานแก้ว , มาริษา บำรุงเรือน , อวัตถา แก้วหานาม</t>
  </si>
  <si>
    <t>พงษ์ลัดดา ปัญญาจิรวุฒิ , กฤษณา จันทร์เจริญ</t>
  </si>
  <si>
    <t>กฤษณะ สีพนมวัน , วรันธร สอนสงวน</t>
  </si>
  <si>
    <t>กรพรรณ เศวตสุวรรณกุล , อุทัย คันธะมาลา</t>
  </si>
  <si>
    <t>ขนิษฐา เมฆสวัสดิ์ , วิทวัส หาญดี , สุนทร สุวอเขียว , วรรณสิริ ล่าบ้านหลวง</t>
  </si>
  <si>
    <t>กุลทัศน์ สุวัฒน์พิพัฒน์ , สุภาภรณ์ ธรรมประทีป , ธนพล เจริญวงษ์ไพบูลย์ , ศศิภา ตรงต่อมิตร , สรัญณัชช์ บุญเปรม , ปิยาภรณ์ ทองพูล</t>
  </si>
  <si>
    <t>ทิวดี มุสันเทียะ , มาริษา บำรุงเรือน</t>
  </si>
  <si>
    <t>อังก์ศิริ ทิพยารมณ์ , พันธ์วริศ บุญประจันทร์</t>
  </si>
  <si>
    <t>ชนากานต์ เทพกรณ์ , มิรันตรี ใจแสน</t>
  </si>
  <si>
    <t>กฤษณะ สีพนมวัน , กฤษณา จันทร์เจริญ</t>
  </si>
  <si>
    <t>วรันธร สอนสงวน , อุทัย คันธะมาลา</t>
  </si>
  <si>
    <t>พัฒนาวิศว์ สว่างลาภ , ธาริณี กฤษฎาพรอนันท์ , อวัตถา แก้วหานาม</t>
  </si>
  <si>
    <t>ประสาน ปานแก้ว , รัตนาวดี สระทองจิน</t>
  </si>
  <si>
    <t>ศรัณยพร มากทรัพย์ , ศศิภา ตรงต่อมิตร</t>
  </si>
  <si>
    <t>รัตนาวดี สระทองจิน , ชัยวัฒน์ ศรีสร้อยแก้ว , สรัญณัชช์ บุญเปรม</t>
  </si>
  <si>
    <t>ศศิประภา หิริโอตป์ , พันธ์วริศ บุญประจันทร์</t>
  </si>
  <si>
    <t>สุจินันท์ มีไล้ , พัฒนา คร้ามแสง , กรพรรณ เศวตสุวรรณกุล , สาวิณี ปฐมสุริยะพร</t>
  </si>
  <si>
    <t>จิราภา ลิ้มบุพศิริพร , สุภาภรณ์ ธรรมประทีป , สิทธิเศรษฐ์ พลเวียง , ปรีชญา สัญญฑิตย์ , กฤษณา จันทร์เจริญ , สิริพร บริรักวิสิฐศักดิ์</t>
  </si>
  <si>
    <t>511 103-165 : CALCULUS FOR BIOLOGICAL SCIENTISTS อ.จิตติศักดิ์</t>
  </si>
  <si>
    <t>สมเจตน์ ชัยยะ , จิราภรณ์ สุขนิพิฐพงษ์ , ภัทราพร เม้ามีศรี</t>
  </si>
  <si>
    <t>511 113-165 : CALCULUS FOR INFORMATION TECHNOLOGY อ.จิตติศักดิ์</t>
  </si>
  <si>
    <t>พลเสรส์ รมอิสรส , สินีนุช สุวรรณาภิชาติ</t>
  </si>
  <si>
    <t>ขนิษฐา เมฆสวัสดิ์ , ธาริณี กฤษฎาพรอนันท์ , อุรารักษ์ ร่มรื่น , ปฏิกร ศรีภิรมย์ , ปิยาภรณ์ ทองพูล</t>
  </si>
  <si>
    <t>รัชดาพร คณาวงษ์ , อุทัย คันธะมาลา</t>
  </si>
  <si>
    <t>พลเสรส์ รมอิสรส , สมเจตน์ ชัยยะ , รัตนาวดี สระทองจิน , พันธ์วริศ บุญประจันทร์ , สรัญณัชช์ บุญเปรม , จิราภรณ์ สุขนิพิฐพงษ์</t>
  </si>
  <si>
    <t>จิราภา ลิ้มบุพศิริพร , ภัทราพร เม้ามีศรี</t>
  </si>
  <si>
    <t>วิภาวรรณ เล้าอรุณ , ชัยวัฒน์ ศรีสร้อยแก้ว</t>
  </si>
  <si>
    <t>พงษ์ลัดดา ปัญญาจิรวุฒิ , ศรัณยพร มากทรัพย์</t>
  </si>
  <si>
    <t>515 421-2560 : APPLIED MULTIVARIATE ANALYSIS openbook</t>
  </si>
  <si>
    <t>ศศิประภา หิริโอตป์ , กฤษณา จันทร์เจริญ</t>
  </si>
  <si>
    <t>ธาริณี กฤษฎาพรอนันท์ , ปฏิกร ศรีภิรมย์ , ปิยาภรณ์ ทองพูล</t>
  </si>
  <si>
    <t>eDate</t>
  </si>
  <si>
    <t>eTime</t>
  </si>
  <si>
    <t>Course</t>
  </si>
  <si>
    <t>Lecturer</t>
  </si>
  <si>
    <t>no_st</t>
  </si>
  <si>
    <t>submit</t>
  </si>
  <si>
    <t>sub_date</t>
  </si>
  <si>
    <t>copy</t>
  </si>
  <si>
    <t>page</t>
  </si>
  <si>
    <t>recieve</t>
  </si>
  <si>
    <t>rec_date</t>
  </si>
  <si>
    <t>qty</t>
  </si>
  <si>
    <t>staple_corner</t>
  </si>
  <si>
    <t>staple_apart</t>
  </si>
  <si>
    <t>calculator</t>
  </si>
  <si>
    <t>answerSheet</t>
  </si>
  <si>
    <t>answerBook_use</t>
  </si>
  <si>
    <t>เย็บมุมรวม</t>
  </si>
  <si>
    <t>1 ตอน(หน้า 1 -  )</t>
  </si>
  <si>
    <t>ไม่อนุญาต</t>
  </si>
  <si>
    <t>ไม่ใช้</t>
  </si>
  <si>
    <t>for roomExam midterm test 1/2567</t>
  </si>
  <si>
    <t>วันที่สอบ</t>
  </si>
  <si>
    <t>จำนวนนศ.</t>
  </si>
  <si>
    <t>ประเภท</t>
  </si>
  <si>
    <t>Room_Id</t>
  </si>
  <si>
    <t>Rooname</t>
  </si>
  <si>
    <t>Capacity</t>
  </si>
  <si>
    <t>R001</t>
  </si>
  <si>
    <t>ร.วท.1</t>
  </si>
  <si>
    <t>4203 ว.4</t>
  </si>
  <si>
    <t>R002</t>
  </si>
  <si>
    <t>ร.วท.2</t>
  </si>
  <si>
    <t>R003</t>
  </si>
  <si>
    <t>ไววิทย์พุทธารี</t>
  </si>
  <si>
    <t>R004</t>
  </si>
  <si>
    <t>หอประชุม</t>
  </si>
  <si>
    <t>R005</t>
  </si>
  <si>
    <t>5406 ว.4</t>
  </si>
  <si>
    <t>R006</t>
  </si>
  <si>
    <t>4103 ว.4</t>
  </si>
  <si>
    <t>R007</t>
  </si>
  <si>
    <t>R008</t>
  </si>
  <si>
    <t>4204 ว.4</t>
  </si>
  <si>
    <t>R009</t>
  </si>
  <si>
    <t>4205 ว.4</t>
  </si>
  <si>
    <t>R010</t>
  </si>
  <si>
    <t>4206 ว.4</t>
  </si>
  <si>
    <t>R011</t>
  </si>
  <si>
    <t>4319 ว.4</t>
  </si>
  <si>
    <t>R012</t>
  </si>
  <si>
    <t>4320 ว.4</t>
  </si>
  <si>
    <t>R013</t>
  </si>
  <si>
    <t>4415 ว.4</t>
  </si>
  <si>
    <t>R014</t>
  </si>
  <si>
    <t>1238 ว.1</t>
  </si>
  <si>
    <t>R015</t>
  </si>
  <si>
    <t>1239 ว.1</t>
  </si>
  <si>
    <t>R016</t>
  </si>
  <si>
    <t>1240 ว.1</t>
  </si>
  <si>
    <t>R017</t>
  </si>
  <si>
    <t>1241 ว.1</t>
  </si>
  <si>
    <t>R018</t>
  </si>
  <si>
    <t>2103 ว.2</t>
  </si>
  <si>
    <t>R019</t>
  </si>
  <si>
    <t>2201 ว.2</t>
  </si>
  <si>
    <t>R020</t>
  </si>
  <si>
    <t>2202 ว.2</t>
  </si>
  <si>
    <t>R021</t>
  </si>
  <si>
    <t>2203 ว.2</t>
  </si>
  <si>
    <t>R022</t>
  </si>
  <si>
    <t>2204 ว.2</t>
  </si>
  <si>
    <t>R023</t>
  </si>
  <si>
    <t>408A-B</t>
  </si>
  <si>
    <t>R024</t>
  </si>
  <si>
    <t>414A-B</t>
  </si>
  <si>
    <t>R025</t>
  </si>
  <si>
    <t>1227/1 ว.1 (คอม)</t>
  </si>
  <si>
    <t>R026</t>
  </si>
  <si>
    <t>1227/2 ว.1 (คอม)</t>
  </si>
  <si>
    <t>R027</t>
  </si>
  <si>
    <t>409A-B (คอม)</t>
  </si>
  <si>
    <t>R028</t>
  </si>
  <si>
    <t>410A-B (คอม)</t>
  </si>
  <si>
    <t>R029</t>
  </si>
  <si>
    <t>1331 ว.1 (สถิติ)</t>
  </si>
  <si>
    <t>R030</t>
  </si>
  <si>
    <t>1334 ว.1 (สถิติ)</t>
  </si>
  <si>
    <t>R031</t>
  </si>
  <si>
    <t>คอม ว.3 (คณะฯ)</t>
  </si>
  <si>
    <t>R032</t>
  </si>
  <si>
    <t>1231 ว.1 (คณิต)</t>
  </si>
  <si>
    <t>id_room</t>
  </si>
  <si>
    <t>1331 ว.1</t>
  </si>
  <si>
    <t>1227/1 ว.1</t>
  </si>
  <si>
    <t>1227/2 ว.1</t>
  </si>
  <si>
    <t>409A-B</t>
  </si>
  <si>
    <t>410A-B</t>
  </si>
  <si>
    <t>1334 ว.1</t>
  </si>
  <si>
    <t>คอม ว.3</t>
  </si>
  <si>
    <t>1231 ว.1</t>
  </si>
  <si>
    <t>409A-409B</t>
  </si>
  <si>
    <t>410A-410B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</si>
</sst>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  <numFmt numFmtId="180" formatCode="[$-1010000]d/m/yy;@"/>
    <numFmt numFmtId="181" formatCode="[$-1070000]d/m/yy;@"/>
    <numFmt numFmtId="182" formatCode="[$-1070000]d/mm/yyyy;@"/>
  </numFmts>
  <fonts count="56">
    <font>
      <sz val="11"/>
      <color theme="1"/>
      <name val="Calibri"/>
      <charset val="222"/>
      <scheme val="minor"/>
    </font>
    <font>
      <sz val="16"/>
      <color rgb="FFFF0000"/>
      <name val="TH Sarabun New"/>
      <charset val="134"/>
    </font>
    <font>
      <b/>
      <sz val="16"/>
      <color rgb="FFFF0000"/>
      <name val="TH Sarabun New"/>
      <charset val="134"/>
    </font>
    <font>
      <sz val="16"/>
      <color indexed="8"/>
      <name val="TH Sarabun New"/>
      <charset val="134"/>
    </font>
    <font>
      <sz val="16"/>
      <color theme="1"/>
      <name val="TH Sarabun New"/>
      <charset val="134"/>
    </font>
    <font>
      <sz val="12"/>
      <color indexed="8"/>
      <name val="TH Sarabun New"/>
      <charset val="134"/>
    </font>
    <font>
      <sz val="16"/>
      <name val="TH Sarabun New"/>
      <charset val="134"/>
    </font>
    <font>
      <b/>
      <sz val="16"/>
      <name val="TH Sarabun New"/>
      <charset val="134"/>
    </font>
    <font>
      <b/>
      <sz val="16"/>
      <color indexed="8"/>
      <name val="TH Sarabun New"/>
      <charset val="134"/>
    </font>
    <font>
      <sz val="11"/>
      <color theme="1"/>
      <name val="TH Sarabun New"/>
      <charset val="134"/>
    </font>
    <font>
      <b/>
      <sz val="11"/>
      <color rgb="FFFF0000"/>
      <name val="TH Sarabun New"/>
      <charset val="134"/>
    </font>
    <font>
      <sz val="14"/>
      <color indexed="8"/>
      <name val="TH Sarabun New"/>
      <charset val="134"/>
    </font>
    <font>
      <b/>
      <sz val="14"/>
      <color indexed="8"/>
      <name val="TH Sarabun New"/>
      <charset val="134"/>
    </font>
    <font>
      <b/>
      <sz val="14"/>
      <color rgb="FFFF0000"/>
      <name val="TH Sarabun New"/>
      <charset val="134"/>
    </font>
    <font>
      <sz val="14"/>
      <color indexed="16"/>
      <name val="TH Sarabun New"/>
      <charset val="134"/>
    </font>
    <font>
      <sz val="10"/>
      <color indexed="8"/>
      <name val="TH Sarabun New"/>
      <charset val="134"/>
    </font>
    <font>
      <sz val="11"/>
      <color rgb="FFFF0000"/>
      <name val="TH Sarabun New"/>
      <charset val="134"/>
    </font>
    <font>
      <sz val="11"/>
      <name val="TH Sarabun New"/>
      <charset val="134"/>
    </font>
    <font>
      <sz val="12"/>
      <color rgb="FFFF0000"/>
      <name val="TH Sarabun New"/>
      <charset val="134"/>
    </font>
    <font>
      <sz val="20"/>
      <color theme="1"/>
      <name val="TH Sarabun New"/>
      <charset val="134"/>
    </font>
    <font>
      <sz val="18"/>
      <color indexed="8"/>
      <name val="TH Sarabun New"/>
      <charset val="134"/>
    </font>
    <font>
      <b/>
      <sz val="18"/>
      <color indexed="8"/>
      <name val="TH Sarabun New"/>
      <charset val="134"/>
    </font>
    <font>
      <b/>
      <sz val="18"/>
      <color theme="1"/>
      <name val="TH Sarabun New"/>
      <charset val="134"/>
    </font>
    <font>
      <sz val="18"/>
      <name val="TH Sarabun New"/>
      <charset val="134"/>
    </font>
    <font>
      <sz val="18"/>
      <color theme="1"/>
      <name val="TH Sarabun New"/>
      <charset val="134"/>
    </font>
    <font>
      <b/>
      <sz val="46"/>
      <color indexed="9"/>
      <name val="Cordia New"/>
      <charset val="134"/>
    </font>
    <font>
      <sz val="12"/>
      <name val="Cordia New"/>
      <charset val="134"/>
    </font>
    <font>
      <b/>
      <sz val="26"/>
      <color theme="0"/>
      <name val="Cordia New"/>
      <charset val="134"/>
    </font>
    <font>
      <sz val="14"/>
      <name val="Cordia New"/>
      <charset val="134"/>
    </font>
    <font>
      <sz val="10"/>
      <color indexed="8"/>
      <name val="Tahoma"/>
      <charset val="134"/>
    </font>
    <font>
      <sz val="16"/>
      <name val="Cordia New"/>
      <charset val="134"/>
    </font>
    <font>
      <b/>
      <sz val="22"/>
      <color theme="1"/>
      <name val="TH Sarabun New"/>
      <charset val="134"/>
    </font>
    <font>
      <b/>
      <sz val="20"/>
      <color theme="1"/>
      <name val="TH Sarabun Ne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MS Sans Serif"/>
      <charset val="222"/>
    </font>
    <font>
      <sz val="10"/>
      <name val="Arial"/>
      <charset val="134"/>
    </font>
    <font>
      <sz val="10"/>
      <color indexed="8"/>
      <name val="Tahoma"/>
      <charset val="222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176" fontId="33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178" fontId="33" fillId="0" borderId="0" applyFont="0" applyFill="0" applyBorder="0" applyAlignment="0" applyProtection="0">
      <alignment vertical="center"/>
    </xf>
    <xf numFmtId="179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6" borderId="1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7" borderId="14" applyNumberFormat="0" applyAlignment="0" applyProtection="0">
      <alignment vertical="center"/>
    </xf>
    <xf numFmtId="0" fontId="43" fillId="8" borderId="15" applyNumberFormat="0" applyAlignment="0" applyProtection="0">
      <alignment vertical="center"/>
    </xf>
    <xf numFmtId="0" fontId="44" fillId="8" borderId="14" applyNumberFormat="0" applyAlignment="0" applyProtection="0">
      <alignment vertical="center"/>
    </xf>
    <xf numFmtId="0" fontId="45" fillId="9" borderId="16" applyNumberFormat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47" fillId="0" borderId="18" applyNumberFormat="0" applyFill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53" fillId="0" borderId="0"/>
    <xf numFmtId="0" fontId="29" fillId="0" borderId="0"/>
    <xf numFmtId="0" fontId="29" fillId="0" borderId="0"/>
    <xf numFmtId="0" fontId="29" fillId="0" borderId="0"/>
    <xf numFmtId="0" fontId="54" fillId="0" borderId="0"/>
    <xf numFmtId="0" fontId="29" fillId="0" borderId="0"/>
    <xf numFmtId="0" fontId="53" fillId="0" borderId="0"/>
    <xf numFmtId="0" fontId="53" fillId="0" borderId="0"/>
    <xf numFmtId="0" fontId="29" fillId="0" borderId="0"/>
    <xf numFmtId="0" fontId="55" fillId="0" borderId="0"/>
    <xf numFmtId="0" fontId="55" fillId="0" borderId="0"/>
  </cellStyleXfs>
  <cellXfs count="182">
    <xf numFmtId="0" fontId="0" fillId="0" borderId="0" xfId="0"/>
    <xf numFmtId="0" fontId="1" fillId="0" borderId="0" xfId="54" applyFont="1" applyAlignment="1">
      <alignment vertical="center"/>
    </xf>
    <xf numFmtId="0" fontId="2" fillId="0" borderId="1" xfId="54" applyFont="1" applyBorder="1" applyAlignment="1">
      <alignment vertical="center"/>
    </xf>
    <xf numFmtId="0" fontId="3" fillId="0" borderId="1" xfId="52" applyFont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5" fillId="2" borderId="1" xfId="61" applyFont="1" applyFill="1" applyBorder="1" applyAlignment="1">
      <alignment horizontal="center" vertical="center"/>
    </xf>
    <xf numFmtId="0" fontId="5" fillId="2" borderId="1" xfId="61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 shrinkToFi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shrinkToFit="1"/>
    </xf>
    <xf numFmtId="0" fontId="4" fillId="0" borderId="5" xfId="0" applyFont="1" applyBorder="1" applyAlignment="1">
      <alignment horizontal="center" vertical="top" shrinkToFit="1"/>
    </xf>
    <xf numFmtId="0" fontId="4" fillId="0" borderId="6" xfId="0" applyFont="1" applyBorder="1" applyAlignment="1">
      <alignment horizontal="center" vertical="top" shrinkToFit="1"/>
    </xf>
    <xf numFmtId="49" fontId="4" fillId="0" borderId="4" xfId="0" applyNumberFormat="1" applyFont="1" applyBorder="1" applyAlignment="1">
      <alignment horizontal="center" vertical="top" shrinkToFit="1"/>
    </xf>
    <xf numFmtId="0" fontId="3" fillId="0" borderId="0" xfId="57" applyFont="1" applyAlignment="1">
      <alignment vertical="center"/>
    </xf>
    <xf numFmtId="0" fontId="6" fillId="0" borderId="0" xfId="54" applyFont="1" applyAlignment="1">
      <alignment vertical="center"/>
    </xf>
    <xf numFmtId="0" fontId="7" fillId="3" borderId="1" xfId="54" applyFont="1" applyFill="1" applyBorder="1" applyAlignment="1">
      <alignment vertical="center"/>
    </xf>
    <xf numFmtId="0" fontId="8" fillId="3" borderId="1" xfId="50" applyFont="1" applyFill="1" applyBorder="1" applyAlignment="1">
      <alignment vertical="center"/>
    </xf>
    <xf numFmtId="58" fontId="4" fillId="0" borderId="2" xfId="0" applyNumberFormat="1" applyFont="1" applyBorder="1" applyAlignment="1">
      <alignment vertical="top" shrinkToFit="1"/>
    </xf>
    <xf numFmtId="0" fontId="4" fillId="0" borderId="2" xfId="0" applyFont="1" applyBorder="1" applyAlignment="1">
      <alignment vertical="top" shrinkToFit="1"/>
    </xf>
    <xf numFmtId="0" fontId="4" fillId="0" borderId="2" xfId="0" applyFont="1" applyBorder="1" applyAlignment="1">
      <alignment vertical="top"/>
    </xf>
    <xf numFmtId="58" fontId="4" fillId="0" borderId="3" xfId="0" applyNumberFormat="1" applyFont="1" applyBorder="1" applyAlignment="1">
      <alignment vertical="top" shrinkToFit="1"/>
    </xf>
    <xf numFmtId="0" fontId="4" fillId="0" borderId="3" xfId="0" applyFont="1" applyBorder="1" applyAlignment="1">
      <alignment vertical="top" shrinkToFit="1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shrinkToFit="1"/>
    </xf>
    <xf numFmtId="0" fontId="4" fillId="0" borderId="4" xfId="0" applyFont="1" applyBorder="1" applyAlignment="1">
      <alignment vertical="top" shrinkToFit="1"/>
    </xf>
    <xf numFmtId="0" fontId="4" fillId="0" borderId="4" xfId="0" applyFont="1" applyBorder="1" applyAlignment="1">
      <alignment vertical="top"/>
    </xf>
    <xf numFmtId="58" fontId="4" fillId="0" borderId="4" xfId="0" applyNumberFormat="1" applyFont="1" applyBorder="1" applyAlignment="1">
      <alignment vertical="top" shrinkToFit="1"/>
    </xf>
    <xf numFmtId="58" fontId="4" fillId="0" borderId="5" xfId="0" applyNumberFormat="1" applyFont="1" applyBorder="1" applyAlignment="1">
      <alignment vertical="top" shrinkToFit="1"/>
    </xf>
    <xf numFmtId="0" fontId="4" fillId="0" borderId="5" xfId="0" applyFont="1" applyBorder="1" applyAlignment="1">
      <alignment vertical="top" shrinkToFit="1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top" shrinkToFit="1"/>
    </xf>
    <xf numFmtId="0" fontId="4" fillId="0" borderId="6" xfId="0" applyFont="1" applyBorder="1" applyAlignment="1">
      <alignment vertical="top"/>
    </xf>
    <xf numFmtId="58" fontId="4" fillId="0" borderId="6" xfId="0" applyNumberFormat="1" applyFont="1" applyBorder="1" applyAlignment="1">
      <alignment vertical="top" shrinkToFit="1"/>
    </xf>
    <xf numFmtId="0" fontId="8" fillId="3" borderId="1" xfId="54" applyFont="1" applyFill="1" applyBorder="1" applyAlignment="1">
      <alignment vertical="center"/>
    </xf>
    <xf numFmtId="0" fontId="2" fillId="0" borderId="1" xfId="52" applyFont="1" applyBorder="1" applyAlignment="1">
      <alignment horizontal="center" vertical="center" shrinkToFit="1"/>
    </xf>
    <xf numFmtId="49" fontId="4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49" fontId="4" fillId="0" borderId="3" xfId="0" applyNumberFormat="1" applyFont="1" applyBorder="1" applyAlignment="1">
      <alignment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49" fontId="4" fillId="0" borderId="5" xfId="0" applyNumberFormat="1" applyFont="1" applyBorder="1" applyAlignment="1">
      <alignment horizontal="center" vertical="center" shrinkToFit="1"/>
    </xf>
    <xf numFmtId="49" fontId="4" fillId="0" borderId="6" xfId="0" applyNumberFormat="1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shrinkToFit="1"/>
    </xf>
    <xf numFmtId="49" fontId="4" fillId="0" borderId="5" xfId="0" applyNumberFormat="1" applyFont="1" applyBorder="1" applyAlignment="1">
      <alignment vertical="center" shrinkToFit="1"/>
    </xf>
    <xf numFmtId="49" fontId="4" fillId="0" borderId="7" xfId="0" applyNumberFormat="1" applyFont="1" applyBorder="1" applyAlignment="1">
      <alignment vertical="center" shrinkToFit="1"/>
    </xf>
    <xf numFmtId="49" fontId="4" fillId="0" borderId="6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52" applyFont="1" applyAlignment="1">
      <alignment vertical="center" shrinkToFit="1"/>
    </xf>
    <xf numFmtId="0" fontId="11" fillId="0" borderId="0" xfId="52" applyFont="1" applyAlignment="1">
      <alignment horizontal="center" vertical="center" shrinkToFit="1"/>
    </xf>
    <xf numFmtId="0" fontId="12" fillId="0" borderId="0" xfId="52" applyFont="1" applyAlignment="1">
      <alignment vertical="center" shrinkToFit="1"/>
    </xf>
    <xf numFmtId="0" fontId="12" fillId="0" borderId="0" xfId="52" applyFont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58" fontId="4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/>
    </xf>
    <xf numFmtId="58" fontId="4" fillId="0" borderId="3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left" shrinkToFit="1"/>
    </xf>
    <xf numFmtId="0" fontId="4" fillId="0" borderId="4" xfId="0" applyFont="1" applyBorder="1" applyAlignment="1">
      <alignment horizontal="center" vertical="top"/>
    </xf>
    <xf numFmtId="58" fontId="4" fillId="0" borderId="4" xfId="0" applyNumberFormat="1" applyFont="1" applyBorder="1" applyAlignment="1">
      <alignment horizontal="center" vertical="top" shrinkToFit="1"/>
    </xf>
    <xf numFmtId="58" fontId="4" fillId="0" borderId="5" xfId="0" applyNumberFormat="1" applyFont="1" applyBorder="1" applyAlignment="1">
      <alignment horizontal="center" vertical="top" shrinkToFit="1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11" fillId="0" borderId="0" xfId="52" applyFont="1" applyAlignment="1">
      <alignment horizontal="left" vertical="center" shrinkToFit="1"/>
    </xf>
    <xf numFmtId="0" fontId="13" fillId="0" borderId="0" xfId="52" applyFont="1" applyAlignment="1">
      <alignment horizontal="center" vertical="center" shrinkToFit="1"/>
    </xf>
    <xf numFmtId="0" fontId="14" fillId="0" borderId="0" xfId="52" applyFont="1" applyAlignment="1">
      <alignment horizontal="left" vertical="center" shrinkToFit="1"/>
    </xf>
    <xf numFmtId="0" fontId="2" fillId="0" borderId="0" xfId="52" applyFont="1" applyAlignment="1">
      <alignment horizontal="center" vertical="center" shrinkToFit="1"/>
    </xf>
    <xf numFmtId="49" fontId="4" fillId="0" borderId="0" xfId="0" applyNumberFormat="1" applyFont="1" applyAlignment="1">
      <alignment horizontal="center" vertical="center" shrinkToFit="1"/>
    </xf>
    <xf numFmtId="49" fontId="4" fillId="0" borderId="0" xfId="0" applyNumberFormat="1" applyFont="1" applyAlignment="1">
      <alignment vertical="center" shrinkToFit="1"/>
    </xf>
    <xf numFmtId="58" fontId="4" fillId="0" borderId="6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center"/>
    </xf>
    <xf numFmtId="0" fontId="15" fillId="0" borderId="0" xfId="57" applyFont="1"/>
    <xf numFmtId="0" fontId="16" fillId="0" borderId="0" xfId="54" applyFont="1" applyAlignment="1">
      <alignment horizontal="center" vertical="center"/>
    </xf>
    <xf numFmtId="180" fontId="17" fillId="0" borderId="0" xfId="54" applyNumberFormat="1" applyFont="1" applyAlignment="1">
      <alignment horizontal="center"/>
    </xf>
    <xf numFmtId="0" fontId="17" fillId="0" borderId="0" xfId="54" applyFont="1"/>
    <xf numFmtId="0" fontId="18" fillId="2" borderId="1" xfId="61" applyFont="1" applyFill="1" applyBorder="1" applyAlignment="1">
      <alignment horizontal="center" vertical="center"/>
    </xf>
    <xf numFmtId="180" fontId="5" fillId="2" borderId="1" xfId="60" applyNumberFormat="1" applyFont="1" applyFill="1" applyBorder="1" applyAlignment="1">
      <alignment horizontal="center"/>
    </xf>
    <xf numFmtId="0" fontId="5" fillId="2" borderId="1" xfId="61" applyFont="1" applyFill="1" applyBorder="1" applyAlignment="1">
      <alignment vertical="center"/>
    </xf>
    <xf numFmtId="0" fontId="4" fillId="0" borderId="1" xfId="0" applyFont="1" applyBorder="1" applyAlignment="1">
      <alignment vertical="center" shrinkToFit="1"/>
    </xf>
    <xf numFmtId="58" fontId="6" fillId="0" borderId="1" xfId="0" applyNumberFormat="1" applyFont="1" applyBorder="1" applyAlignment="1">
      <alignment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vertical="center" wrapText="1"/>
    </xf>
    <xf numFmtId="0" fontId="5" fillId="0" borderId="1" xfId="5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shrinkToFit="1"/>
    </xf>
    <xf numFmtId="58" fontId="5" fillId="3" borderId="1" xfId="5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58" fontId="4" fillId="0" borderId="1" xfId="0" applyNumberFormat="1" applyFont="1" applyBorder="1" applyAlignment="1">
      <alignment vertical="center" shrinkToFit="1"/>
    </xf>
    <xf numFmtId="0" fontId="19" fillId="0" borderId="1" xfId="0" applyFont="1" applyBorder="1" applyAlignment="1">
      <alignment vertical="center" shrinkToFit="1"/>
    </xf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49" fontId="19" fillId="0" borderId="1" xfId="0" applyNumberFormat="1" applyFont="1" applyBorder="1" applyAlignment="1">
      <alignment vertical="center" shrinkToFit="1"/>
    </xf>
    <xf numFmtId="0" fontId="20" fillId="0" borderId="0" xfId="54" applyFont="1" applyAlignment="1">
      <alignment vertical="center" shrinkToFit="1"/>
    </xf>
    <xf numFmtId="0" fontId="20" fillId="0" borderId="0" xfId="54" applyFont="1" applyAlignment="1">
      <alignment horizontal="center" vertical="center" shrinkToFit="1"/>
    </xf>
    <xf numFmtId="0" fontId="21" fillId="0" borderId="0" xfId="54" applyFont="1" applyAlignment="1">
      <alignment horizontal="center" vertical="center" shrinkToFit="1"/>
    </xf>
    <xf numFmtId="0" fontId="21" fillId="0" borderId="8" xfId="54" applyFont="1" applyBorder="1" applyAlignment="1">
      <alignment horizontal="center" vertical="center" shrinkToFit="1"/>
    </xf>
    <xf numFmtId="0" fontId="21" fillId="4" borderId="1" xfId="54" applyFont="1" applyFill="1" applyBorder="1" applyAlignment="1">
      <alignment horizontal="center" vertical="center" shrinkToFit="1"/>
    </xf>
    <xf numFmtId="0" fontId="20" fillId="4" borderId="1" xfId="54" applyFont="1" applyFill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58" fontId="23" fillId="0" borderId="1" xfId="0" applyNumberFormat="1" applyFont="1" applyBorder="1" applyAlignment="1">
      <alignment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left" vertical="center" shrinkToFit="1"/>
    </xf>
    <xf numFmtId="0" fontId="24" fillId="0" borderId="1" xfId="0" applyFont="1" applyBorder="1" applyAlignment="1">
      <alignment vertical="center" wrapText="1"/>
    </xf>
    <xf numFmtId="0" fontId="20" fillId="0" borderId="1" xfId="54" applyFont="1" applyBorder="1" applyAlignment="1">
      <alignment vertical="center" shrinkToFit="1"/>
    </xf>
    <xf numFmtId="0" fontId="24" fillId="0" borderId="1" xfId="0" applyFont="1" applyBorder="1" applyAlignment="1">
      <alignment vertical="center" shrinkToFi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 shrinkToFit="1"/>
    </xf>
    <xf numFmtId="0" fontId="23" fillId="0" borderId="1" xfId="0" applyFont="1" applyBorder="1" applyAlignment="1">
      <alignment vertical="center"/>
    </xf>
    <xf numFmtId="0" fontId="20" fillId="0" borderId="1" xfId="54" applyFont="1" applyBorder="1" applyAlignment="1">
      <alignment horizontal="center" vertical="center" shrinkToFit="1"/>
    </xf>
    <xf numFmtId="0" fontId="25" fillId="0" borderId="0" xfId="55" applyFont="1" applyAlignment="1">
      <alignment horizontal="center" vertical="center"/>
    </xf>
    <xf numFmtId="0" fontId="26" fillId="0" borderId="0" xfId="55" applyFont="1" applyAlignment="1">
      <alignment horizontal="left" vertical="top" wrapText="1"/>
    </xf>
    <xf numFmtId="0" fontId="27" fillId="0" borderId="0" xfId="55" applyFont="1" applyAlignment="1">
      <alignment vertical="center" textRotation="90" shrinkToFit="1"/>
    </xf>
    <xf numFmtId="0" fontId="28" fillId="0" borderId="0" xfId="55" applyFont="1" applyAlignment="1">
      <alignment horizontal="center" vertical="center"/>
    </xf>
    <xf numFmtId="0" fontId="29" fillId="0" borderId="0" xfId="50"/>
    <xf numFmtId="0" fontId="25" fillId="5" borderId="1" xfId="55" applyFont="1" applyFill="1" applyBorder="1" applyAlignment="1">
      <alignment horizontal="center" vertical="center"/>
    </xf>
    <xf numFmtId="0" fontId="26" fillId="0" borderId="1" xfId="55" applyFont="1" applyBorder="1" applyAlignment="1">
      <alignment horizontal="left" vertical="top" wrapText="1"/>
    </xf>
    <xf numFmtId="0" fontId="27" fillId="5" borderId="1" xfId="55" applyFont="1" applyFill="1" applyBorder="1" applyAlignment="1">
      <alignment horizontal="center" vertical="center" textRotation="90" shrinkToFit="1"/>
    </xf>
    <xf numFmtId="0" fontId="28" fillId="0" borderId="1" xfId="55" applyFont="1" applyBorder="1" applyAlignment="1">
      <alignment horizontal="left" vertical="center" wrapText="1" shrinkToFit="1"/>
    </xf>
    <xf numFmtId="0" fontId="30" fillId="0" borderId="1" xfId="55" applyFont="1" applyBorder="1" applyAlignment="1">
      <alignment horizontal="left" vertical="center" wrapText="1" shrinkToFit="1"/>
    </xf>
    <xf numFmtId="0" fontId="27" fillId="0" borderId="1" xfId="55" applyFont="1" applyBorder="1" applyAlignment="1">
      <alignment vertical="center" textRotation="90" shrinkToFit="1"/>
    </xf>
    <xf numFmtId="0" fontId="25" fillId="5" borderId="9" xfId="55" applyFont="1" applyFill="1" applyBorder="1" applyAlignment="1">
      <alignment horizontal="center" vertical="center"/>
    </xf>
    <xf numFmtId="0" fontId="26" fillId="0" borderId="9" xfId="55" applyFont="1" applyBorder="1" applyAlignment="1">
      <alignment horizontal="left" vertical="top" wrapText="1"/>
    </xf>
    <xf numFmtId="0" fontId="27" fillId="0" borderId="9" xfId="55" applyFont="1" applyBorder="1" applyAlignment="1">
      <alignment vertical="center" textRotation="90" shrinkToFit="1"/>
    </xf>
    <xf numFmtId="0" fontId="28" fillId="0" borderId="9" xfId="55" applyFont="1" applyBorder="1" applyAlignment="1">
      <alignment horizontal="left" vertical="center" wrapText="1" shrinkToFit="1"/>
    </xf>
    <xf numFmtId="0" fontId="28" fillId="0" borderId="1" xfId="55" applyFont="1" applyBorder="1" applyAlignment="1">
      <alignment horizontal="center" vertical="center"/>
    </xf>
    <xf numFmtId="181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81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81" fontId="6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shrinkToFit="1"/>
    </xf>
    <xf numFmtId="49" fontId="6" fillId="0" borderId="0" xfId="0" applyNumberFormat="1" applyFont="1" applyAlignment="1">
      <alignment vertical="center"/>
    </xf>
    <xf numFmtId="58" fontId="6" fillId="0" borderId="0" xfId="0" applyNumberFormat="1" applyFont="1" applyAlignment="1">
      <alignment vertical="center"/>
    </xf>
    <xf numFmtId="49" fontId="6" fillId="0" borderId="1" xfId="0" applyNumberFormat="1" applyFont="1" applyBorder="1" applyAlignment="1">
      <alignment vertical="center" shrinkToFit="1"/>
    </xf>
    <xf numFmtId="0" fontId="4" fillId="0" borderId="0" xfId="0" applyFont="1" applyAlignment="1">
      <alignment shrinkToFit="1"/>
    </xf>
    <xf numFmtId="0" fontId="4" fillId="0" borderId="0" xfId="0" applyFont="1" applyAlignment="1">
      <alignment horizontal="center" vertical="top" shrinkToFi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 shrinkToFi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31" fillId="0" borderId="0" xfId="0" applyFont="1" applyAlignment="1">
      <alignment shrinkToFit="1"/>
    </xf>
    <xf numFmtId="0" fontId="32" fillId="0" borderId="0" xfId="0" applyFont="1" applyAlignment="1">
      <alignment shrinkToFit="1"/>
    </xf>
    <xf numFmtId="0" fontId="31" fillId="0" borderId="8" xfId="0" applyFont="1" applyBorder="1" applyAlignment="1">
      <alignment shrinkToFit="1"/>
    </xf>
    <xf numFmtId="182" fontId="4" fillId="0" borderId="1" xfId="0" applyNumberFormat="1" applyFont="1" applyBorder="1" applyAlignment="1">
      <alignment horizontal="center" vertical="center" shrinkToFit="1"/>
    </xf>
    <xf numFmtId="181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 shrinkToFit="1"/>
    </xf>
    <xf numFmtId="0" fontId="4" fillId="0" borderId="10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shrinkToFit="1"/>
    </xf>
    <xf numFmtId="58" fontId="4" fillId="0" borderId="0" xfId="0" applyNumberFormat="1" applyFont="1"/>
    <xf numFmtId="49" fontId="4" fillId="0" borderId="2" xfId="0" applyNumberFormat="1" applyFont="1" applyBorder="1" applyAlignment="1">
      <alignment horizontal="center" vertical="top" shrinkToFit="1"/>
    </xf>
    <xf numFmtId="49" fontId="4" fillId="0" borderId="0" xfId="0" applyNumberFormat="1" applyFont="1"/>
    <xf numFmtId="49" fontId="4" fillId="0" borderId="3" xfId="0" applyNumberFormat="1" applyFont="1" applyBorder="1" applyAlignment="1">
      <alignment horizontal="center" vertical="top" shrinkToFit="1"/>
    </xf>
    <xf numFmtId="49" fontId="4" fillId="0" borderId="5" xfId="0" applyNumberFormat="1" applyFont="1" applyBorder="1" applyAlignment="1">
      <alignment horizontal="center" vertical="top" shrinkToFit="1"/>
    </xf>
    <xf numFmtId="49" fontId="4" fillId="0" borderId="6" xfId="0" applyNumberFormat="1" applyFont="1" applyBorder="1" applyAlignment="1">
      <alignment horizontal="center" vertical="top" shrinkToFit="1"/>
    </xf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2 4" xfId="53"/>
    <cellStyle name="Normal 3" xfId="54"/>
    <cellStyle name="Normal 3 2" xfId="55"/>
    <cellStyle name="Normal 3 3" xfId="56"/>
    <cellStyle name="Normal 4" xfId="57"/>
    <cellStyle name="Normal 5" xfId="58"/>
    <cellStyle name="Normal 6" xfId="59"/>
    <cellStyle name="Normal_roomExam 2" xfId="60"/>
    <cellStyle name="Normal_Sheet4 2" xfId="61"/>
  </cellStyles>
  <tableStyles count="0" defaultTableStyle="TableStyleMedium2" defaultPivotStyle="PivotStyleLight16"/>
  <colors>
    <mruColors>
      <color rgb="00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customStorage" Target="customStorage/customStorage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8"/>
  <sheetViews>
    <sheetView topLeftCell="F269" workbookViewId="0">
      <selection activeCell="A4" sqref="A4:J288"/>
    </sheetView>
  </sheetViews>
  <sheetFormatPr defaultColWidth="9" defaultRowHeight="20.4"/>
  <cols>
    <col min="1" max="1" width="13.6296296296296" style="161" customWidth="1"/>
    <col min="2" max="2" width="13.25" style="161" customWidth="1"/>
    <col min="3" max="3" width="14.6296296296296" style="162" customWidth="1"/>
    <col min="4" max="4" width="56.6296296296296" style="163" customWidth="1"/>
    <col min="5" max="5" width="14.6296296296296" style="162" customWidth="1"/>
    <col min="6" max="6" width="20.8796296296296" style="161" customWidth="1"/>
    <col min="7" max="7" width="105" style="164" customWidth="1"/>
    <col min="8" max="8" width="28.75" style="163" customWidth="1"/>
    <col min="9" max="9" width="10" style="71" customWidth="1"/>
    <col min="10" max="10" width="10.3796296296296" style="86" customWidth="1"/>
    <col min="11" max="11" width="72.75" style="164" customWidth="1"/>
    <col min="12" max="12" width="10.75" style="165" customWidth="1"/>
    <col min="13" max="16384" width="9" style="165"/>
  </cols>
  <sheetData>
    <row r="1" s="160" customFormat="1" ht="28.2" spans="1:11">
      <c r="A1" s="166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="160" customFormat="1" ht="28.2" spans="1:11">
      <c r="A2" s="168" t="s">
        <v>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="71" customFormat="1" spans="1:11">
      <c r="A3" s="169" t="s">
        <v>2</v>
      </c>
      <c r="B3" s="170" t="s">
        <v>3</v>
      </c>
      <c r="C3" s="170" t="s">
        <v>4</v>
      </c>
      <c r="D3" s="171" t="s">
        <v>5</v>
      </c>
      <c r="E3" s="171" t="s">
        <v>6</v>
      </c>
      <c r="F3" s="172" t="s">
        <v>7</v>
      </c>
      <c r="G3" s="173" t="s">
        <v>8</v>
      </c>
      <c r="H3" s="174" t="s">
        <v>9</v>
      </c>
      <c r="I3" s="171"/>
      <c r="J3" s="175" t="s">
        <v>10</v>
      </c>
      <c r="K3" s="174" t="s">
        <v>9</v>
      </c>
    </row>
    <row r="4" spans="1:15">
      <c r="A4" s="72">
        <v>45535</v>
      </c>
      <c r="B4" s="14" t="s">
        <v>11</v>
      </c>
      <c r="C4" s="73">
        <v>2</v>
      </c>
      <c r="D4" s="29" t="s">
        <v>12</v>
      </c>
      <c r="E4" s="73">
        <v>28</v>
      </c>
      <c r="F4" s="14" t="s">
        <v>13</v>
      </c>
      <c r="G4" s="5" t="s">
        <v>14</v>
      </c>
      <c r="H4" s="5" t="s">
        <v>15</v>
      </c>
      <c r="I4" s="47" t="s">
        <v>16</v>
      </c>
      <c r="J4" s="46" t="s">
        <v>17</v>
      </c>
      <c r="K4" s="5" t="s">
        <v>15</v>
      </c>
      <c r="L4" s="176">
        <f>DATE(2024,M4,N4)</f>
        <v>45535</v>
      </c>
      <c r="M4" s="177" t="s">
        <v>18</v>
      </c>
      <c r="N4" s="178" t="s">
        <v>19</v>
      </c>
      <c r="O4" s="165">
        <v>2024</v>
      </c>
    </row>
    <row r="5" spans="1:15">
      <c r="A5" s="74">
        <v>45535</v>
      </c>
      <c r="B5" s="18" t="s">
        <v>11</v>
      </c>
      <c r="C5" s="75">
        <v>2</v>
      </c>
      <c r="D5" s="32" t="s">
        <v>20</v>
      </c>
      <c r="E5" s="75">
        <v>44</v>
      </c>
      <c r="F5" s="18" t="s">
        <v>13</v>
      </c>
      <c r="G5" s="6" t="s">
        <v>14</v>
      </c>
      <c r="H5" s="32" t="s">
        <v>21</v>
      </c>
      <c r="I5" s="49" t="s">
        <v>16</v>
      </c>
      <c r="J5" s="48" t="s">
        <v>17</v>
      </c>
      <c r="K5" s="6" t="s">
        <v>22</v>
      </c>
      <c r="L5" s="176">
        <f t="shared" ref="L5:L68" si="0">DATE(2024,M5,N5)</f>
        <v>45535</v>
      </c>
      <c r="M5" s="179" t="s">
        <v>18</v>
      </c>
      <c r="N5" s="178" t="s">
        <v>19</v>
      </c>
      <c r="O5" s="165">
        <v>2024</v>
      </c>
    </row>
    <row r="6" spans="1:15">
      <c r="A6" s="74">
        <v>45535</v>
      </c>
      <c r="B6" s="18" t="s">
        <v>11</v>
      </c>
      <c r="C6" s="75">
        <v>2</v>
      </c>
      <c r="D6" s="32" t="s">
        <v>23</v>
      </c>
      <c r="E6" s="75">
        <v>48</v>
      </c>
      <c r="F6" s="18" t="s">
        <v>24</v>
      </c>
      <c r="G6" s="6" t="s">
        <v>25</v>
      </c>
      <c r="H6" s="6" t="s">
        <v>26</v>
      </c>
      <c r="I6" s="49" t="s">
        <v>16</v>
      </c>
      <c r="J6" s="48" t="s">
        <v>17</v>
      </c>
      <c r="K6" s="6" t="s">
        <v>26</v>
      </c>
      <c r="L6" s="176">
        <f t="shared" si="0"/>
        <v>45535</v>
      </c>
      <c r="M6" s="179" t="s">
        <v>18</v>
      </c>
      <c r="N6" s="178" t="s">
        <v>19</v>
      </c>
      <c r="O6" s="165">
        <v>2024</v>
      </c>
    </row>
    <row r="7" spans="1:15">
      <c r="A7" s="74">
        <v>45535</v>
      </c>
      <c r="B7" s="18" t="s">
        <v>11</v>
      </c>
      <c r="C7" s="75">
        <v>2</v>
      </c>
      <c r="D7" s="32" t="s">
        <v>23</v>
      </c>
      <c r="E7" s="75">
        <v>27</v>
      </c>
      <c r="F7" s="18" t="s">
        <v>27</v>
      </c>
      <c r="G7" s="6" t="s">
        <v>28</v>
      </c>
      <c r="H7" s="6" t="s">
        <v>26</v>
      </c>
      <c r="I7" s="49" t="s">
        <v>16</v>
      </c>
      <c r="J7" s="48" t="s">
        <v>17</v>
      </c>
      <c r="K7" s="6" t="s">
        <v>26</v>
      </c>
      <c r="L7" s="176">
        <f t="shared" si="0"/>
        <v>45535</v>
      </c>
      <c r="M7" s="179" t="s">
        <v>18</v>
      </c>
      <c r="N7" s="178" t="s">
        <v>19</v>
      </c>
      <c r="O7" s="165">
        <v>2024</v>
      </c>
    </row>
    <row r="8" spans="1:15">
      <c r="A8" s="74">
        <v>45535</v>
      </c>
      <c r="B8" s="18" t="s">
        <v>11</v>
      </c>
      <c r="C8" s="75">
        <v>2</v>
      </c>
      <c r="D8" s="32" t="s">
        <v>29</v>
      </c>
      <c r="E8" s="75">
        <v>17</v>
      </c>
      <c r="F8" s="18" t="s">
        <v>27</v>
      </c>
      <c r="G8" s="6" t="s">
        <v>28</v>
      </c>
      <c r="H8" s="6" t="s">
        <v>26</v>
      </c>
      <c r="I8" s="49" t="s">
        <v>16</v>
      </c>
      <c r="J8" s="48" t="s">
        <v>17</v>
      </c>
      <c r="K8" s="6" t="s">
        <v>26</v>
      </c>
      <c r="L8" s="176">
        <f t="shared" si="0"/>
        <v>45535</v>
      </c>
      <c r="M8" s="179" t="s">
        <v>18</v>
      </c>
      <c r="N8" s="178" t="s">
        <v>19</v>
      </c>
      <c r="O8" s="165">
        <v>2024</v>
      </c>
    </row>
    <row r="9" spans="1:15">
      <c r="A9" s="74">
        <v>45535</v>
      </c>
      <c r="B9" s="18" t="s">
        <v>11</v>
      </c>
      <c r="C9" s="75">
        <v>2</v>
      </c>
      <c r="D9" s="32" t="s">
        <v>30</v>
      </c>
      <c r="E9" s="75">
        <v>42</v>
      </c>
      <c r="F9" s="18" t="s">
        <v>27</v>
      </c>
      <c r="G9" s="6" t="s">
        <v>28</v>
      </c>
      <c r="H9" s="6" t="s">
        <v>26</v>
      </c>
      <c r="I9" s="49" t="s">
        <v>16</v>
      </c>
      <c r="J9" s="48" t="s">
        <v>17</v>
      </c>
      <c r="K9" s="6" t="s">
        <v>26</v>
      </c>
      <c r="L9" s="176">
        <f t="shared" si="0"/>
        <v>45535</v>
      </c>
      <c r="M9" s="179" t="s">
        <v>18</v>
      </c>
      <c r="N9" s="178" t="s">
        <v>19</v>
      </c>
      <c r="O9" s="165">
        <v>2024</v>
      </c>
    </row>
    <row r="10" spans="1:15">
      <c r="A10" s="74">
        <v>45535</v>
      </c>
      <c r="B10" s="18" t="s">
        <v>31</v>
      </c>
      <c r="C10" s="75">
        <v>3</v>
      </c>
      <c r="D10" s="32" t="s">
        <v>32</v>
      </c>
      <c r="E10" s="75">
        <v>126</v>
      </c>
      <c r="F10" s="18" t="s">
        <v>33</v>
      </c>
      <c r="G10" s="6" t="s">
        <v>34</v>
      </c>
      <c r="H10" s="32" t="s">
        <v>35</v>
      </c>
      <c r="I10" s="49" t="s">
        <v>16</v>
      </c>
      <c r="J10" s="48" t="s">
        <v>36</v>
      </c>
      <c r="K10" s="6" t="s">
        <v>37</v>
      </c>
      <c r="L10" s="176">
        <f t="shared" si="0"/>
        <v>45535</v>
      </c>
      <c r="M10" s="179" t="s">
        <v>18</v>
      </c>
      <c r="N10" s="178" t="s">
        <v>19</v>
      </c>
      <c r="O10" s="165">
        <v>2024</v>
      </c>
    </row>
    <row r="11" ht="40.8" spans="1:15">
      <c r="A11" s="74">
        <v>45535</v>
      </c>
      <c r="B11" s="18" t="s">
        <v>31</v>
      </c>
      <c r="C11" s="75">
        <v>3</v>
      </c>
      <c r="D11" s="32" t="s">
        <v>38</v>
      </c>
      <c r="E11" s="75">
        <v>239</v>
      </c>
      <c r="F11" s="18" t="s">
        <v>39</v>
      </c>
      <c r="G11" s="6" t="s">
        <v>40</v>
      </c>
      <c r="H11" s="32" t="s">
        <v>41</v>
      </c>
      <c r="I11" s="49" t="s">
        <v>16</v>
      </c>
      <c r="J11" s="48" t="s">
        <v>36</v>
      </c>
      <c r="K11" s="6" t="s">
        <v>42</v>
      </c>
      <c r="L11" s="176">
        <f t="shared" si="0"/>
        <v>45535</v>
      </c>
      <c r="M11" s="179" t="s">
        <v>18</v>
      </c>
      <c r="N11" s="178" t="s">
        <v>19</v>
      </c>
      <c r="O11" s="165">
        <v>2024</v>
      </c>
    </row>
    <row r="12" ht="40.8" spans="1:15">
      <c r="A12" s="74">
        <v>45535</v>
      </c>
      <c r="B12" s="18" t="s">
        <v>31</v>
      </c>
      <c r="C12" s="75">
        <v>3</v>
      </c>
      <c r="D12" s="32" t="s">
        <v>43</v>
      </c>
      <c r="E12" s="75">
        <v>400</v>
      </c>
      <c r="F12" s="18" t="s">
        <v>44</v>
      </c>
      <c r="G12" s="6" t="s">
        <v>45</v>
      </c>
      <c r="H12" s="32" t="s">
        <v>46</v>
      </c>
      <c r="I12" s="49" t="s">
        <v>16</v>
      </c>
      <c r="J12" s="48" t="s">
        <v>36</v>
      </c>
      <c r="K12" s="6" t="s">
        <v>47</v>
      </c>
      <c r="L12" s="176">
        <f t="shared" si="0"/>
        <v>45535</v>
      </c>
      <c r="M12" s="179" t="s">
        <v>18</v>
      </c>
      <c r="N12" s="178" t="s">
        <v>19</v>
      </c>
      <c r="O12" s="165">
        <v>2024</v>
      </c>
    </row>
    <row r="13" spans="1:15">
      <c r="A13" s="74">
        <v>45535</v>
      </c>
      <c r="B13" s="18" t="s">
        <v>31</v>
      </c>
      <c r="C13" s="75">
        <v>3</v>
      </c>
      <c r="D13" s="32" t="s">
        <v>48</v>
      </c>
      <c r="E13" s="75">
        <v>58</v>
      </c>
      <c r="F13" s="18" t="s">
        <v>49</v>
      </c>
      <c r="G13" s="6" t="s">
        <v>50</v>
      </c>
      <c r="H13" s="32" t="s">
        <v>41</v>
      </c>
      <c r="I13" s="49" t="s">
        <v>16</v>
      </c>
      <c r="J13" s="48" t="s">
        <v>17</v>
      </c>
      <c r="K13" s="6" t="s">
        <v>51</v>
      </c>
      <c r="L13" s="176">
        <f t="shared" si="0"/>
        <v>45535</v>
      </c>
      <c r="M13" s="179" t="s">
        <v>18</v>
      </c>
      <c r="N13" s="178" t="s">
        <v>19</v>
      </c>
      <c r="O13" s="165">
        <v>2024</v>
      </c>
    </row>
    <row r="14" ht="81.6" spans="1:15">
      <c r="A14" s="74">
        <v>45535</v>
      </c>
      <c r="B14" s="18" t="s">
        <v>31</v>
      </c>
      <c r="C14" s="75">
        <v>3</v>
      </c>
      <c r="D14" s="32" t="s">
        <v>52</v>
      </c>
      <c r="E14" s="75">
        <v>24</v>
      </c>
      <c r="F14" s="18" t="s">
        <v>53</v>
      </c>
      <c r="G14" s="6" t="s">
        <v>54</v>
      </c>
      <c r="H14" s="32" t="s">
        <v>55</v>
      </c>
      <c r="I14" s="49" t="s">
        <v>16</v>
      </c>
      <c r="J14" s="48" t="s">
        <v>17</v>
      </c>
      <c r="K14" s="6" t="s">
        <v>56</v>
      </c>
      <c r="L14" s="176">
        <f t="shared" si="0"/>
        <v>45535</v>
      </c>
      <c r="M14" s="179" t="s">
        <v>18</v>
      </c>
      <c r="N14" s="178" t="s">
        <v>19</v>
      </c>
      <c r="O14" s="165">
        <v>2024</v>
      </c>
    </row>
    <row r="15" ht="102" spans="1:15">
      <c r="A15" s="74">
        <v>45535</v>
      </c>
      <c r="B15" s="18" t="s">
        <v>31</v>
      </c>
      <c r="C15" s="75">
        <v>3</v>
      </c>
      <c r="D15" s="32" t="s">
        <v>57</v>
      </c>
      <c r="E15" s="75">
        <v>136</v>
      </c>
      <c r="F15" s="18" t="s">
        <v>58</v>
      </c>
      <c r="G15" s="6" t="s">
        <v>59</v>
      </c>
      <c r="H15" s="32" t="s">
        <v>60</v>
      </c>
      <c r="I15" s="49" t="s">
        <v>16</v>
      </c>
      <c r="J15" s="48" t="s">
        <v>36</v>
      </c>
      <c r="K15" s="6" t="s">
        <v>61</v>
      </c>
      <c r="L15" s="176">
        <f t="shared" si="0"/>
        <v>45535</v>
      </c>
      <c r="M15" s="179" t="s">
        <v>18</v>
      </c>
      <c r="N15" s="178" t="s">
        <v>19</v>
      </c>
      <c r="O15" s="165">
        <v>2024</v>
      </c>
    </row>
    <row r="16" ht="40.8" spans="1:15">
      <c r="A16" s="74">
        <v>45535</v>
      </c>
      <c r="B16" s="18" t="s">
        <v>31</v>
      </c>
      <c r="C16" s="75">
        <v>3</v>
      </c>
      <c r="D16" s="32" t="s">
        <v>62</v>
      </c>
      <c r="E16" s="75">
        <v>63</v>
      </c>
      <c r="F16" s="18" t="s">
        <v>63</v>
      </c>
      <c r="G16" s="6" t="s">
        <v>64</v>
      </c>
      <c r="H16" s="32" t="s">
        <v>65</v>
      </c>
      <c r="I16" s="49" t="s">
        <v>16</v>
      </c>
      <c r="J16" s="48" t="s">
        <v>17</v>
      </c>
      <c r="K16" s="6" t="s">
        <v>66</v>
      </c>
      <c r="L16" s="176">
        <f t="shared" si="0"/>
        <v>45535</v>
      </c>
      <c r="M16" s="179" t="s">
        <v>18</v>
      </c>
      <c r="N16" s="178" t="s">
        <v>19</v>
      </c>
      <c r="O16" s="165">
        <v>2024</v>
      </c>
    </row>
    <row r="17" spans="1:15">
      <c r="A17" s="74">
        <v>45535</v>
      </c>
      <c r="B17" s="18" t="s">
        <v>31</v>
      </c>
      <c r="C17" s="75">
        <v>3</v>
      </c>
      <c r="D17" s="32" t="s">
        <v>67</v>
      </c>
      <c r="E17" s="75">
        <v>4</v>
      </c>
      <c r="F17" s="18" t="s">
        <v>68</v>
      </c>
      <c r="G17" s="6" t="s">
        <v>69</v>
      </c>
      <c r="H17" s="6" t="s">
        <v>70</v>
      </c>
      <c r="I17" s="49" t="s">
        <v>16</v>
      </c>
      <c r="J17" s="48" t="s">
        <v>17</v>
      </c>
      <c r="K17" s="6" t="s">
        <v>70</v>
      </c>
      <c r="L17" s="176">
        <f t="shared" si="0"/>
        <v>45535</v>
      </c>
      <c r="M17" s="179" t="s">
        <v>18</v>
      </c>
      <c r="N17" s="178" t="s">
        <v>19</v>
      </c>
      <c r="O17" s="165">
        <v>2024</v>
      </c>
    </row>
    <row r="18" spans="1:15">
      <c r="A18" s="74">
        <v>45535</v>
      </c>
      <c r="B18" s="18" t="s">
        <v>31</v>
      </c>
      <c r="C18" s="75">
        <v>3</v>
      </c>
      <c r="D18" s="76" t="s">
        <v>71</v>
      </c>
      <c r="E18" s="75">
        <v>38</v>
      </c>
      <c r="F18" s="18" t="s">
        <v>68</v>
      </c>
      <c r="G18" s="6" t="s">
        <v>69</v>
      </c>
      <c r="H18" s="6" t="s">
        <v>70</v>
      </c>
      <c r="I18" s="49" t="s">
        <v>16</v>
      </c>
      <c r="J18" s="48" t="s">
        <v>17</v>
      </c>
      <c r="K18" s="6" t="s">
        <v>70</v>
      </c>
      <c r="L18" s="176">
        <f t="shared" si="0"/>
        <v>45535</v>
      </c>
      <c r="M18" s="179" t="s">
        <v>18</v>
      </c>
      <c r="N18" s="178" t="s">
        <v>19</v>
      </c>
      <c r="O18" s="165">
        <v>2024</v>
      </c>
    </row>
    <row r="19" spans="1:15">
      <c r="A19" s="74">
        <v>45535</v>
      </c>
      <c r="B19" s="18" t="s">
        <v>31</v>
      </c>
      <c r="C19" s="75">
        <v>3</v>
      </c>
      <c r="D19" s="32" t="s">
        <v>72</v>
      </c>
      <c r="E19" s="75">
        <v>134</v>
      </c>
      <c r="F19" s="18" t="s">
        <v>73</v>
      </c>
      <c r="G19" s="6" t="s">
        <v>74</v>
      </c>
      <c r="H19" s="6" t="s">
        <v>75</v>
      </c>
      <c r="I19" s="49" t="s">
        <v>16</v>
      </c>
      <c r="J19" s="48" t="s">
        <v>36</v>
      </c>
      <c r="K19" s="6" t="s">
        <v>75</v>
      </c>
      <c r="L19" s="176">
        <f t="shared" si="0"/>
        <v>45535</v>
      </c>
      <c r="M19" s="179" t="s">
        <v>18</v>
      </c>
      <c r="N19" s="178" t="s">
        <v>19</v>
      </c>
      <c r="O19" s="165">
        <v>2024</v>
      </c>
    </row>
    <row r="20" spans="1:15">
      <c r="A20" s="74">
        <v>45535</v>
      </c>
      <c r="B20" s="20" t="s">
        <v>31</v>
      </c>
      <c r="C20" s="77">
        <v>3</v>
      </c>
      <c r="D20" s="35" t="s">
        <v>76</v>
      </c>
      <c r="E20" s="77">
        <v>97</v>
      </c>
      <c r="F20" s="20" t="s">
        <v>77</v>
      </c>
      <c r="G20" s="7" t="s">
        <v>78</v>
      </c>
      <c r="H20" s="7" t="s">
        <v>79</v>
      </c>
      <c r="I20" s="51" t="s">
        <v>16</v>
      </c>
      <c r="J20" s="50" t="s">
        <v>17</v>
      </c>
      <c r="K20" s="7" t="s">
        <v>79</v>
      </c>
      <c r="L20" s="176">
        <f t="shared" si="0"/>
        <v>45535</v>
      </c>
      <c r="M20" s="179" t="s">
        <v>18</v>
      </c>
      <c r="N20" s="178" t="s">
        <v>19</v>
      </c>
      <c r="O20" s="165">
        <v>2024</v>
      </c>
    </row>
    <row r="21" ht="40.8" spans="1:15">
      <c r="A21" s="74">
        <v>45535</v>
      </c>
      <c r="B21" s="18" t="s">
        <v>80</v>
      </c>
      <c r="C21" s="75">
        <v>2</v>
      </c>
      <c r="D21" s="32" t="s">
        <v>81</v>
      </c>
      <c r="E21" s="75">
        <v>412</v>
      </c>
      <c r="F21" s="18" t="s">
        <v>44</v>
      </c>
      <c r="G21" s="6" t="s">
        <v>82</v>
      </c>
      <c r="H21" s="32" t="s">
        <v>83</v>
      </c>
      <c r="I21" s="49" t="s">
        <v>16</v>
      </c>
      <c r="J21" s="46" t="s">
        <v>36</v>
      </c>
      <c r="K21" s="6" t="s">
        <v>84</v>
      </c>
      <c r="L21" s="176">
        <f t="shared" si="0"/>
        <v>45535</v>
      </c>
      <c r="M21" s="179" t="s">
        <v>18</v>
      </c>
      <c r="N21" s="178" t="s">
        <v>19</v>
      </c>
      <c r="O21" s="165">
        <v>2024</v>
      </c>
    </row>
    <row r="22" ht="40.8" spans="1:15">
      <c r="A22" s="74">
        <v>45535</v>
      </c>
      <c r="B22" s="18" t="s">
        <v>80</v>
      </c>
      <c r="C22" s="75">
        <v>2</v>
      </c>
      <c r="D22" s="32" t="s">
        <v>85</v>
      </c>
      <c r="E22" s="75">
        <v>11</v>
      </c>
      <c r="F22" s="18" t="s">
        <v>63</v>
      </c>
      <c r="G22" s="6" t="s">
        <v>86</v>
      </c>
      <c r="H22" s="32" t="s">
        <v>83</v>
      </c>
      <c r="I22" s="49" t="s">
        <v>16</v>
      </c>
      <c r="J22" s="48" t="s">
        <v>17</v>
      </c>
      <c r="K22" s="6" t="s">
        <v>84</v>
      </c>
      <c r="L22" s="176">
        <f t="shared" si="0"/>
        <v>45535</v>
      </c>
      <c r="M22" s="179" t="s">
        <v>18</v>
      </c>
      <c r="N22" s="178" t="s">
        <v>19</v>
      </c>
      <c r="O22" s="165">
        <v>2024</v>
      </c>
    </row>
    <row r="23" ht="40.8" spans="1:15">
      <c r="A23" s="74">
        <v>45535</v>
      </c>
      <c r="B23" s="18" t="s">
        <v>87</v>
      </c>
      <c r="C23" s="75">
        <v>3</v>
      </c>
      <c r="D23" s="32" t="s">
        <v>88</v>
      </c>
      <c r="E23" s="75">
        <v>70</v>
      </c>
      <c r="F23" s="18" t="s">
        <v>13</v>
      </c>
      <c r="G23" s="6" t="s">
        <v>89</v>
      </c>
      <c r="H23" s="6" t="s">
        <v>46</v>
      </c>
      <c r="I23" s="49" t="s">
        <v>16</v>
      </c>
      <c r="J23" s="48" t="s">
        <v>17</v>
      </c>
      <c r="K23" s="6" t="s">
        <v>46</v>
      </c>
      <c r="L23" s="176">
        <f t="shared" si="0"/>
        <v>45535</v>
      </c>
      <c r="M23" s="179" t="s">
        <v>18</v>
      </c>
      <c r="N23" s="178" t="s">
        <v>19</v>
      </c>
      <c r="O23" s="165">
        <v>2024</v>
      </c>
    </row>
    <row r="24" ht="40.8" spans="1:15">
      <c r="A24" s="74">
        <v>45535</v>
      </c>
      <c r="B24" s="18" t="s">
        <v>87</v>
      </c>
      <c r="C24" s="75">
        <v>3</v>
      </c>
      <c r="D24" s="32" t="s">
        <v>88</v>
      </c>
      <c r="E24" s="75">
        <v>70</v>
      </c>
      <c r="F24" s="18" t="s">
        <v>49</v>
      </c>
      <c r="G24" s="6" t="s">
        <v>90</v>
      </c>
      <c r="H24" s="6" t="s">
        <v>46</v>
      </c>
      <c r="I24" s="49" t="s">
        <v>16</v>
      </c>
      <c r="J24" s="48" t="s">
        <v>17</v>
      </c>
      <c r="K24" s="6" t="s">
        <v>46</v>
      </c>
      <c r="L24" s="176">
        <f t="shared" si="0"/>
        <v>45535</v>
      </c>
      <c r="M24" s="179" t="s">
        <v>18</v>
      </c>
      <c r="N24" s="178" t="s">
        <v>19</v>
      </c>
      <c r="O24" s="165">
        <v>2024</v>
      </c>
    </row>
    <row r="25" ht="40.8" spans="1:15">
      <c r="A25" s="74">
        <v>45535</v>
      </c>
      <c r="B25" s="18" t="s">
        <v>87</v>
      </c>
      <c r="C25" s="75">
        <v>3</v>
      </c>
      <c r="D25" s="32" t="s">
        <v>88</v>
      </c>
      <c r="E25" s="75">
        <v>60</v>
      </c>
      <c r="F25" s="18" t="s">
        <v>53</v>
      </c>
      <c r="G25" s="6" t="s">
        <v>91</v>
      </c>
      <c r="H25" s="6" t="s">
        <v>46</v>
      </c>
      <c r="I25" s="49" t="s">
        <v>16</v>
      </c>
      <c r="J25" s="48" t="s">
        <v>17</v>
      </c>
      <c r="K25" s="6" t="s">
        <v>46</v>
      </c>
      <c r="L25" s="176">
        <f t="shared" si="0"/>
        <v>45535</v>
      </c>
      <c r="M25" s="179" t="s">
        <v>18</v>
      </c>
      <c r="N25" s="178" t="s">
        <v>19</v>
      </c>
      <c r="O25" s="165">
        <v>2024</v>
      </c>
    </row>
    <row r="26" ht="40.8" spans="1:15">
      <c r="A26" s="74">
        <v>45535</v>
      </c>
      <c r="B26" s="18" t="s">
        <v>87</v>
      </c>
      <c r="C26" s="75">
        <v>3</v>
      </c>
      <c r="D26" s="32" t="s">
        <v>92</v>
      </c>
      <c r="E26" s="75">
        <v>255</v>
      </c>
      <c r="F26" s="18" t="s">
        <v>58</v>
      </c>
      <c r="G26" s="6" t="s">
        <v>93</v>
      </c>
      <c r="H26" s="6" t="s">
        <v>94</v>
      </c>
      <c r="I26" s="49" t="s">
        <v>16</v>
      </c>
      <c r="J26" s="48" t="s">
        <v>36</v>
      </c>
      <c r="K26" s="6" t="s">
        <v>94</v>
      </c>
      <c r="L26" s="176">
        <f t="shared" si="0"/>
        <v>45535</v>
      </c>
      <c r="M26" s="179" t="s">
        <v>18</v>
      </c>
      <c r="N26" s="178" t="s">
        <v>19</v>
      </c>
      <c r="O26" s="165">
        <v>2024</v>
      </c>
    </row>
    <row r="27" spans="1:15">
      <c r="A27" s="74">
        <v>45535</v>
      </c>
      <c r="B27" s="18" t="s">
        <v>87</v>
      </c>
      <c r="C27" s="75">
        <v>3</v>
      </c>
      <c r="D27" s="32" t="s">
        <v>95</v>
      </c>
      <c r="E27" s="75">
        <v>112</v>
      </c>
      <c r="F27" s="18" t="s">
        <v>33</v>
      </c>
      <c r="G27" s="6" t="s">
        <v>96</v>
      </c>
      <c r="H27" s="6" t="s">
        <v>94</v>
      </c>
      <c r="I27" s="49" t="s">
        <v>16</v>
      </c>
      <c r="J27" s="48" t="s">
        <v>97</v>
      </c>
      <c r="K27" s="6" t="s">
        <v>98</v>
      </c>
      <c r="L27" s="176">
        <f t="shared" si="0"/>
        <v>45535</v>
      </c>
      <c r="M27" s="179" t="s">
        <v>18</v>
      </c>
      <c r="N27" s="178" t="s">
        <v>19</v>
      </c>
      <c r="O27" s="165">
        <v>2024</v>
      </c>
    </row>
    <row r="28" ht="40.8" spans="1:15">
      <c r="A28" s="74">
        <v>45535</v>
      </c>
      <c r="B28" s="18" t="s">
        <v>87</v>
      </c>
      <c r="C28" s="75">
        <v>3</v>
      </c>
      <c r="D28" s="32" t="s">
        <v>99</v>
      </c>
      <c r="E28" s="75">
        <v>13</v>
      </c>
      <c r="F28" s="18" t="s">
        <v>33</v>
      </c>
      <c r="G28" s="6" t="s">
        <v>96</v>
      </c>
      <c r="H28" s="6" t="s">
        <v>100</v>
      </c>
      <c r="I28" s="49" t="s">
        <v>16</v>
      </c>
      <c r="J28" s="52" t="s">
        <v>101</v>
      </c>
      <c r="K28" s="6" t="s">
        <v>100</v>
      </c>
      <c r="L28" s="176">
        <f t="shared" si="0"/>
        <v>45535</v>
      </c>
      <c r="M28" s="179" t="s">
        <v>18</v>
      </c>
      <c r="N28" s="178" t="s">
        <v>19</v>
      </c>
      <c r="O28" s="165">
        <v>2024</v>
      </c>
    </row>
    <row r="29" ht="40.8" spans="1:15">
      <c r="A29" s="74">
        <v>45535</v>
      </c>
      <c r="B29" s="18" t="s">
        <v>87</v>
      </c>
      <c r="C29" s="75">
        <v>3</v>
      </c>
      <c r="D29" s="32" t="s">
        <v>102</v>
      </c>
      <c r="E29" s="75">
        <v>33</v>
      </c>
      <c r="F29" s="18" t="s">
        <v>33</v>
      </c>
      <c r="G29" s="6" t="s">
        <v>96</v>
      </c>
      <c r="H29" s="6" t="s">
        <v>100</v>
      </c>
      <c r="I29" s="49" t="s">
        <v>16</v>
      </c>
      <c r="J29" s="52" t="s">
        <v>101</v>
      </c>
      <c r="K29" s="6" t="s">
        <v>100</v>
      </c>
      <c r="L29" s="176">
        <f t="shared" si="0"/>
        <v>45535</v>
      </c>
      <c r="M29" s="179" t="s">
        <v>18</v>
      </c>
      <c r="N29" s="178" t="s">
        <v>19</v>
      </c>
      <c r="O29" s="165">
        <v>2024</v>
      </c>
    </row>
    <row r="30" ht="81.6" spans="1:15">
      <c r="A30" s="74">
        <v>45535</v>
      </c>
      <c r="B30" s="18" t="s">
        <v>87</v>
      </c>
      <c r="C30" s="75">
        <v>3</v>
      </c>
      <c r="D30" s="32" t="s">
        <v>103</v>
      </c>
      <c r="E30" s="75">
        <v>24</v>
      </c>
      <c r="F30" s="18" t="s">
        <v>104</v>
      </c>
      <c r="G30" s="6" t="s">
        <v>105</v>
      </c>
      <c r="H30" s="32" t="s">
        <v>55</v>
      </c>
      <c r="I30" s="49" t="s">
        <v>16</v>
      </c>
      <c r="J30" s="48" t="s">
        <v>17</v>
      </c>
      <c r="K30" s="6" t="s">
        <v>106</v>
      </c>
      <c r="L30" s="176">
        <f t="shared" si="0"/>
        <v>45535</v>
      </c>
      <c r="M30" s="179" t="s">
        <v>18</v>
      </c>
      <c r="N30" s="178" t="s">
        <v>19</v>
      </c>
      <c r="O30" s="165">
        <v>2024</v>
      </c>
    </row>
    <row r="31" ht="40.8" spans="1:15">
      <c r="A31" s="74">
        <v>45535</v>
      </c>
      <c r="B31" s="18" t="s">
        <v>87</v>
      </c>
      <c r="C31" s="75">
        <v>3</v>
      </c>
      <c r="D31" s="32" t="s">
        <v>107</v>
      </c>
      <c r="E31" s="75">
        <v>281</v>
      </c>
      <c r="F31" s="18" t="s">
        <v>39</v>
      </c>
      <c r="G31" s="6" t="s">
        <v>108</v>
      </c>
      <c r="H31" s="32" t="s">
        <v>109</v>
      </c>
      <c r="I31" s="49" t="s">
        <v>16</v>
      </c>
      <c r="J31" s="48" t="s">
        <v>36</v>
      </c>
      <c r="K31" s="6" t="s">
        <v>110</v>
      </c>
      <c r="L31" s="176">
        <f t="shared" si="0"/>
        <v>45535</v>
      </c>
      <c r="M31" s="179" t="s">
        <v>18</v>
      </c>
      <c r="N31" s="178" t="s">
        <v>19</v>
      </c>
      <c r="O31" s="165">
        <v>2024</v>
      </c>
    </row>
    <row r="32" spans="1:15">
      <c r="A32" s="74">
        <v>45535</v>
      </c>
      <c r="B32" s="18" t="s">
        <v>87</v>
      </c>
      <c r="C32" s="75">
        <v>3</v>
      </c>
      <c r="D32" s="32" t="s">
        <v>111</v>
      </c>
      <c r="E32" s="75">
        <v>96</v>
      </c>
      <c r="F32" s="18" t="s">
        <v>77</v>
      </c>
      <c r="G32" s="6" t="s">
        <v>112</v>
      </c>
      <c r="H32" s="32" t="s">
        <v>113</v>
      </c>
      <c r="I32" s="49" t="s">
        <v>16</v>
      </c>
      <c r="J32" s="48" t="s">
        <v>17</v>
      </c>
      <c r="K32" s="6" t="s">
        <v>114</v>
      </c>
      <c r="L32" s="176">
        <f t="shared" si="0"/>
        <v>45535</v>
      </c>
      <c r="M32" s="179" t="s">
        <v>18</v>
      </c>
      <c r="N32" s="178" t="s">
        <v>19</v>
      </c>
      <c r="O32" s="165">
        <v>2024</v>
      </c>
    </row>
    <row r="33" spans="1:15">
      <c r="A33" s="74">
        <v>45535</v>
      </c>
      <c r="B33" s="18" t="s">
        <v>87</v>
      </c>
      <c r="C33" s="75">
        <v>3</v>
      </c>
      <c r="D33" s="32" t="s">
        <v>67</v>
      </c>
      <c r="E33" s="75">
        <v>4</v>
      </c>
      <c r="F33" s="18" t="s">
        <v>68</v>
      </c>
      <c r="G33" s="6" t="s">
        <v>69</v>
      </c>
      <c r="H33" s="6" t="s">
        <v>70</v>
      </c>
      <c r="I33" s="49" t="s">
        <v>115</v>
      </c>
      <c r="J33" s="48" t="s">
        <v>17</v>
      </c>
      <c r="K33" s="6" t="s">
        <v>70</v>
      </c>
      <c r="L33" s="176">
        <f t="shared" si="0"/>
        <v>45535</v>
      </c>
      <c r="M33" s="179" t="s">
        <v>18</v>
      </c>
      <c r="N33" s="178" t="s">
        <v>19</v>
      </c>
      <c r="O33" s="165">
        <v>2024</v>
      </c>
    </row>
    <row r="34" spans="1:15">
      <c r="A34" s="74">
        <v>45535</v>
      </c>
      <c r="B34" s="18" t="s">
        <v>87</v>
      </c>
      <c r="C34" s="75">
        <v>3</v>
      </c>
      <c r="D34" s="32" t="s">
        <v>71</v>
      </c>
      <c r="E34" s="75">
        <v>38</v>
      </c>
      <c r="F34" s="18" t="s">
        <v>68</v>
      </c>
      <c r="G34" s="6" t="s">
        <v>69</v>
      </c>
      <c r="H34" s="6" t="s">
        <v>70</v>
      </c>
      <c r="I34" s="49" t="s">
        <v>115</v>
      </c>
      <c r="J34" s="48" t="s">
        <v>17</v>
      </c>
      <c r="K34" s="6" t="s">
        <v>70</v>
      </c>
      <c r="L34" s="176">
        <f t="shared" si="0"/>
        <v>45535</v>
      </c>
      <c r="M34" s="179" t="s">
        <v>18</v>
      </c>
      <c r="N34" s="178" t="s">
        <v>19</v>
      </c>
      <c r="O34" s="165">
        <v>2024</v>
      </c>
    </row>
    <row r="35" spans="1:15">
      <c r="A35" s="74">
        <v>45535</v>
      </c>
      <c r="B35" s="18" t="s">
        <v>87</v>
      </c>
      <c r="C35" s="75">
        <v>3</v>
      </c>
      <c r="D35" s="32" t="s">
        <v>116</v>
      </c>
      <c r="E35" s="75">
        <v>89</v>
      </c>
      <c r="F35" s="18" t="s">
        <v>73</v>
      </c>
      <c r="G35" s="6" t="s">
        <v>117</v>
      </c>
      <c r="H35" s="6" t="s">
        <v>118</v>
      </c>
      <c r="I35" s="49" t="s">
        <v>16</v>
      </c>
      <c r="J35" s="52" t="s">
        <v>119</v>
      </c>
      <c r="K35" s="6" t="s">
        <v>118</v>
      </c>
      <c r="L35" s="176">
        <f t="shared" si="0"/>
        <v>45535</v>
      </c>
      <c r="M35" s="179" t="s">
        <v>18</v>
      </c>
      <c r="N35" s="178" t="s">
        <v>19</v>
      </c>
      <c r="O35" s="165">
        <v>2024</v>
      </c>
    </row>
    <row r="36" spans="1:15">
      <c r="A36" s="74">
        <v>45535</v>
      </c>
      <c r="B36" s="18" t="s">
        <v>87</v>
      </c>
      <c r="C36" s="75">
        <v>3</v>
      </c>
      <c r="D36" s="32" t="s">
        <v>120</v>
      </c>
      <c r="E36" s="75">
        <v>16</v>
      </c>
      <c r="F36" s="18" t="s">
        <v>73</v>
      </c>
      <c r="G36" s="6" t="s">
        <v>117</v>
      </c>
      <c r="H36" s="6" t="s">
        <v>118</v>
      </c>
      <c r="I36" s="49" t="s">
        <v>16</v>
      </c>
      <c r="J36" s="52" t="s">
        <v>119</v>
      </c>
      <c r="K36" s="6" t="s">
        <v>118</v>
      </c>
      <c r="L36" s="176">
        <f t="shared" si="0"/>
        <v>45535</v>
      </c>
      <c r="M36" s="179" t="s">
        <v>18</v>
      </c>
      <c r="N36" s="178" t="s">
        <v>19</v>
      </c>
      <c r="O36" s="165">
        <v>2024</v>
      </c>
    </row>
    <row r="37" spans="1:15">
      <c r="A37" s="78">
        <v>45535</v>
      </c>
      <c r="B37" s="20" t="s">
        <v>87</v>
      </c>
      <c r="C37" s="77">
        <v>3</v>
      </c>
      <c r="D37" s="35" t="s">
        <v>121</v>
      </c>
      <c r="E37" s="77">
        <v>57</v>
      </c>
      <c r="F37" s="20" t="s">
        <v>73</v>
      </c>
      <c r="G37" s="7" t="s">
        <v>117</v>
      </c>
      <c r="H37" s="35" t="s">
        <v>122</v>
      </c>
      <c r="I37" s="51" t="s">
        <v>16</v>
      </c>
      <c r="J37" s="50" t="s">
        <v>123</v>
      </c>
      <c r="K37" s="7" t="s">
        <v>124</v>
      </c>
      <c r="L37" s="176">
        <f t="shared" si="0"/>
        <v>45535</v>
      </c>
      <c r="M37" s="23" t="s">
        <v>18</v>
      </c>
      <c r="N37" s="178" t="s">
        <v>19</v>
      </c>
      <c r="O37" s="165">
        <v>2024</v>
      </c>
    </row>
    <row r="38" spans="1:15">
      <c r="A38" s="79">
        <v>45536</v>
      </c>
      <c r="B38" s="21" t="s">
        <v>11</v>
      </c>
      <c r="C38" s="80">
        <v>2</v>
      </c>
      <c r="D38" s="39" t="s">
        <v>125</v>
      </c>
      <c r="E38" s="80">
        <v>5</v>
      </c>
      <c r="F38" s="21" t="s">
        <v>33</v>
      </c>
      <c r="G38" s="8" t="s">
        <v>126</v>
      </c>
      <c r="H38" s="8" t="s">
        <v>127</v>
      </c>
      <c r="I38" s="53" t="s">
        <v>16</v>
      </c>
      <c r="J38" s="46" t="s">
        <v>128</v>
      </c>
      <c r="K38" s="8" t="s">
        <v>127</v>
      </c>
      <c r="L38" s="176">
        <f t="shared" si="0"/>
        <v>45536</v>
      </c>
      <c r="M38" s="180" t="s">
        <v>129</v>
      </c>
      <c r="N38" s="178" t="s">
        <v>130</v>
      </c>
      <c r="O38" s="165">
        <v>2024</v>
      </c>
    </row>
    <row r="39" spans="1:15">
      <c r="A39" s="74">
        <v>45536</v>
      </c>
      <c r="B39" s="18" t="s">
        <v>11</v>
      </c>
      <c r="C39" s="75">
        <v>2</v>
      </c>
      <c r="D39" s="32" t="s">
        <v>131</v>
      </c>
      <c r="E39" s="75">
        <v>95</v>
      </c>
      <c r="F39" s="18" t="s">
        <v>33</v>
      </c>
      <c r="G39" s="6" t="s">
        <v>126</v>
      </c>
      <c r="H39" s="32" t="s">
        <v>132</v>
      </c>
      <c r="I39" s="49" t="s">
        <v>16</v>
      </c>
      <c r="J39" s="48" t="s">
        <v>119</v>
      </c>
      <c r="K39" s="6" t="s">
        <v>133</v>
      </c>
      <c r="L39" s="176">
        <f t="shared" si="0"/>
        <v>45536</v>
      </c>
      <c r="M39" s="179" t="s">
        <v>129</v>
      </c>
      <c r="N39" s="178" t="s">
        <v>130</v>
      </c>
      <c r="O39" s="165">
        <v>2024</v>
      </c>
    </row>
    <row r="40" spans="1:15">
      <c r="A40" s="74">
        <v>45536</v>
      </c>
      <c r="B40" s="18" t="s">
        <v>11</v>
      </c>
      <c r="C40" s="75">
        <v>2</v>
      </c>
      <c r="D40" s="32" t="s">
        <v>134</v>
      </c>
      <c r="E40" s="75">
        <v>20</v>
      </c>
      <c r="F40" s="18" t="s">
        <v>135</v>
      </c>
      <c r="G40" s="6" t="s">
        <v>136</v>
      </c>
      <c r="H40" s="32" t="s">
        <v>137</v>
      </c>
      <c r="I40" s="49" t="s">
        <v>16</v>
      </c>
      <c r="J40" s="48" t="s">
        <v>17</v>
      </c>
      <c r="K40" s="6" t="s">
        <v>138</v>
      </c>
      <c r="L40" s="176">
        <f t="shared" si="0"/>
        <v>45536</v>
      </c>
      <c r="M40" s="179" t="s">
        <v>129</v>
      </c>
      <c r="N40" s="178" t="s">
        <v>130</v>
      </c>
      <c r="O40" s="165">
        <v>2024</v>
      </c>
    </row>
    <row r="41" spans="1:15">
      <c r="A41" s="74">
        <v>45536</v>
      </c>
      <c r="B41" s="18" t="s">
        <v>11</v>
      </c>
      <c r="C41" s="75">
        <v>2</v>
      </c>
      <c r="D41" s="32" t="s">
        <v>139</v>
      </c>
      <c r="E41" s="75">
        <v>30</v>
      </c>
      <c r="F41" s="18" t="s">
        <v>24</v>
      </c>
      <c r="G41" s="6" t="s">
        <v>140</v>
      </c>
      <c r="H41" s="6" t="s">
        <v>141</v>
      </c>
      <c r="I41" s="49" t="s">
        <v>115</v>
      </c>
      <c r="J41" s="48" t="s">
        <v>17</v>
      </c>
      <c r="K41" s="6" t="s">
        <v>141</v>
      </c>
      <c r="L41" s="176">
        <f t="shared" si="0"/>
        <v>45536</v>
      </c>
      <c r="M41" s="179" t="s">
        <v>129</v>
      </c>
      <c r="N41" s="178" t="s">
        <v>130</v>
      </c>
      <c r="O41" s="165">
        <v>2024</v>
      </c>
    </row>
    <row r="42" spans="1:15">
      <c r="A42" s="74">
        <v>45536</v>
      </c>
      <c r="B42" s="18" t="s">
        <v>11</v>
      </c>
      <c r="C42" s="75">
        <v>2</v>
      </c>
      <c r="D42" s="32" t="s">
        <v>139</v>
      </c>
      <c r="E42" s="75">
        <v>70</v>
      </c>
      <c r="F42" s="18" t="s">
        <v>27</v>
      </c>
      <c r="G42" s="6" t="s">
        <v>142</v>
      </c>
      <c r="H42" s="6" t="s">
        <v>141</v>
      </c>
      <c r="I42" s="49" t="s">
        <v>115</v>
      </c>
      <c r="J42" s="48" t="s">
        <v>17</v>
      </c>
      <c r="K42" s="6" t="s">
        <v>141</v>
      </c>
      <c r="L42" s="176">
        <f t="shared" si="0"/>
        <v>45536</v>
      </c>
      <c r="M42" s="179" t="s">
        <v>129</v>
      </c>
      <c r="N42" s="178" t="s">
        <v>130</v>
      </c>
      <c r="O42" s="165">
        <v>2024</v>
      </c>
    </row>
    <row r="43" spans="1:15">
      <c r="A43" s="74">
        <v>45536</v>
      </c>
      <c r="B43" s="18" t="s">
        <v>11</v>
      </c>
      <c r="C43" s="75">
        <v>2</v>
      </c>
      <c r="D43" s="32" t="s">
        <v>143</v>
      </c>
      <c r="E43" s="75">
        <v>7</v>
      </c>
      <c r="F43" s="18" t="s">
        <v>27</v>
      </c>
      <c r="G43" s="6" t="s">
        <v>144</v>
      </c>
      <c r="H43" s="6" t="s">
        <v>141</v>
      </c>
      <c r="I43" s="49" t="s">
        <v>115</v>
      </c>
      <c r="J43" s="48" t="s">
        <v>17</v>
      </c>
      <c r="K43" s="6" t="s">
        <v>141</v>
      </c>
      <c r="L43" s="176">
        <f t="shared" si="0"/>
        <v>45536</v>
      </c>
      <c r="M43" s="179" t="s">
        <v>129</v>
      </c>
      <c r="N43" s="178" t="s">
        <v>130</v>
      </c>
      <c r="O43" s="165">
        <v>2024</v>
      </c>
    </row>
    <row r="44" ht="40.8" spans="1:15">
      <c r="A44" s="74">
        <v>45536</v>
      </c>
      <c r="B44" s="18" t="s">
        <v>31</v>
      </c>
      <c r="C44" s="75">
        <v>3</v>
      </c>
      <c r="D44" s="32" t="s">
        <v>145</v>
      </c>
      <c r="E44" s="75">
        <v>344</v>
      </c>
      <c r="F44" s="18" t="s">
        <v>44</v>
      </c>
      <c r="G44" s="6" t="s">
        <v>146</v>
      </c>
      <c r="H44" s="6" t="s">
        <v>147</v>
      </c>
      <c r="I44" s="49" t="s">
        <v>16</v>
      </c>
      <c r="J44" s="52" t="s">
        <v>36</v>
      </c>
      <c r="K44" s="6" t="s">
        <v>147</v>
      </c>
      <c r="L44" s="176">
        <f t="shared" si="0"/>
        <v>45536</v>
      </c>
      <c r="M44" s="179" t="s">
        <v>129</v>
      </c>
      <c r="N44" s="178" t="s">
        <v>130</v>
      </c>
      <c r="O44" s="165">
        <v>2024</v>
      </c>
    </row>
    <row r="45" ht="40.8" spans="1:15">
      <c r="A45" s="74">
        <v>45536</v>
      </c>
      <c r="B45" s="18" t="s">
        <v>31</v>
      </c>
      <c r="C45" s="75">
        <v>3</v>
      </c>
      <c r="D45" s="32" t="s">
        <v>148</v>
      </c>
      <c r="E45" s="75">
        <v>38</v>
      </c>
      <c r="F45" s="18" t="s">
        <v>44</v>
      </c>
      <c r="G45" s="6" t="s">
        <v>146</v>
      </c>
      <c r="H45" s="6" t="s">
        <v>147</v>
      </c>
      <c r="I45" s="49" t="s">
        <v>16</v>
      </c>
      <c r="J45" s="52" t="s">
        <v>36</v>
      </c>
      <c r="K45" s="6" t="s">
        <v>147</v>
      </c>
      <c r="L45" s="176">
        <f t="shared" si="0"/>
        <v>45536</v>
      </c>
      <c r="M45" s="179" t="s">
        <v>129</v>
      </c>
      <c r="N45" s="178" t="s">
        <v>130</v>
      </c>
      <c r="O45" s="165">
        <v>2024</v>
      </c>
    </row>
    <row r="46" ht="40.8" spans="1:15">
      <c r="A46" s="74">
        <v>45536</v>
      </c>
      <c r="B46" s="18" t="s">
        <v>31</v>
      </c>
      <c r="C46" s="75">
        <v>3</v>
      </c>
      <c r="D46" s="32" t="s">
        <v>149</v>
      </c>
      <c r="E46" s="75">
        <v>44</v>
      </c>
      <c r="F46" s="18" t="s">
        <v>13</v>
      </c>
      <c r="G46" s="6" t="s">
        <v>150</v>
      </c>
      <c r="H46" s="6" t="s">
        <v>35</v>
      </c>
      <c r="I46" s="49" t="s">
        <v>16</v>
      </c>
      <c r="J46" s="48" t="s">
        <v>17</v>
      </c>
      <c r="K46" s="6" t="s">
        <v>35</v>
      </c>
      <c r="L46" s="176">
        <f t="shared" si="0"/>
        <v>45536</v>
      </c>
      <c r="M46" s="179" t="s">
        <v>129</v>
      </c>
      <c r="N46" s="178" t="s">
        <v>130</v>
      </c>
      <c r="O46" s="165">
        <v>2024</v>
      </c>
    </row>
    <row r="47" spans="1:15">
      <c r="A47" s="74">
        <v>45536</v>
      </c>
      <c r="B47" s="18" t="s">
        <v>31</v>
      </c>
      <c r="C47" s="75">
        <v>3</v>
      </c>
      <c r="D47" s="32" t="s">
        <v>151</v>
      </c>
      <c r="E47" s="75">
        <v>19</v>
      </c>
      <c r="F47" s="18" t="s">
        <v>73</v>
      </c>
      <c r="G47" s="6" t="s">
        <v>152</v>
      </c>
      <c r="H47" s="32" t="s">
        <v>153</v>
      </c>
      <c r="I47" s="49" t="s">
        <v>16</v>
      </c>
      <c r="J47" s="48" t="s">
        <v>154</v>
      </c>
      <c r="K47" s="6" t="s">
        <v>155</v>
      </c>
      <c r="L47" s="176">
        <f t="shared" si="0"/>
        <v>45536</v>
      </c>
      <c r="M47" s="179" t="s">
        <v>129</v>
      </c>
      <c r="N47" s="178" t="s">
        <v>130</v>
      </c>
      <c r="O47" s="165">
        <v>2024</v>
      </c>
    </row>
    <row r="48" spans="1:15">
      <c r="A48" s="74">
        <v>45536</v>
      </c>
      <c r="B48" s="18" t="s">
        <v>31</v>
      </c>
      <c r="C48" s="75">
        <v>3</v>
      </c>
      <c r="D48" s="32" t="s">
        <v>156</v>
      </c>
      <c r="E48" s="75">
        <v>83</v>
      </c>
      <c r="F48" s="18" t="s">
        <v>73</v>
      </c>
      <c r="G48" s="6" t="s">
        <v>152</v>
      </c>
      <c r="H48" s="6" t="s">
        <v>157</v>
      </c>
      <c r="I48" s="49" t="s">
        <v>16</v>
      </c>
      <c r="J48" s="48" t="s">
        <v>158</v>
      </c>
      <c r="K48" s="6" t="s">
        <v>157</v>
      </c>
      <c r="L48" s="176">
        <f t="shared" si="0"/>
        <v>45536</v>
      </c>
      <c r="M48" s="179" t="s">
        <v>129</v>
      </c>
      <c r="N48" s="178" t="s">
        <v>130</v>
      </c>
      <c r="O48" s="165">
        <v>2024</v>
      </c>
    </row>
    <row r="49" spans="1:15">
      <c r="A49" s="74">
        <v>45536</v>
      </c>
      <c r="B49" s="18" t="s">
        <v>31</v>
      </c>
      <c r="C49" s="75">
        <v>3</v>
      </c>
      <c r="D49" s="32" t="s">
        <v>159</v>
      </c>
      <c r="E49" s="75">
        <v>75</v>
      </c>
      <c r="F49" s="18" t="s">
        <v>68</v>
      </c>
      <c r="G49" s="6" t="s">
        <v>160</v>
      </c>
      <c r="H49" s="6" t="s">
        <v>161</v>
      </c>
      <c r="I49" s="49" t="s">
        <v>115</v>
      </c>
      <c r="J49" s="48" t="s">
        <v>17</v>
      </c>
      <c r="K49" s="6" t="s">
        <v>161</v>
      </c>
      <c r="L49" s="176">
        <f t="shared" si="0"/>
        <v>45536</v>
      </c>
      <c r="M49" s="179" t="s">
        <v>129</v>
      </c>
      <c r="N49" s="178" t="s">
        <v>130</v>
      </c>
      <c r="O49" s="165">
        <v>2024</v>
      </c>
    </row>
    <row r="50" spans="1:15">
      <c r="A50" s="74">
        <v>45536</v>
      </c>
      <c r="B50" s="18" t="s">
        <v>31</v>
      </c>
      <c r="C50" s="75">
        <v>3</v>
      </c>
      <c r="D50" s="32" t="s">
        <v>162</v>
      </c>
      <c r="E50" s="75">
        <v>8</v>
      </c>
      <c r="F50" s="18" t="s">
        <v>163</v>
      </c>
      <c r="G50" s="6" t="s">
        <v>164</v>
      </c>
      <c r="H50" s="32" t="s">
        <v>165</v>
      </c>
      <c r="I50" s="49" t="s">
        <v>115</v>
      </c>
      <c r="J50" s="48" t="s">
        <v>17</v>
      </c>
      <c r="K50" s="6" t="s">
        <v>166</v>
      </c>
      <c r="L50" s="176">
        <f t="shared" si="0"/>
        <v>45536</v>
      </c>
      <c r="M50" s="179" t="s">
        <v>129</v>
      </c>
      <c r="N50" s="178" t="s">
        <v>130</v>
      </c>
      <c r="O50" s="165">
        <v>2024</v>
      </c>
    </row>
    <row r="51" ht="40.8" spans="1:15">
      <c r="A51" s="74">
        <v>45536</v>
      </c>
      <c r="B51" s="18" t="s">
        <v>31</v>
      </c>
      <c r="C51" s="75">
        <v>3</v>
      </c>
      <c r="D51" s="32" t="s">
        <v>167</v>
      </c>
      <c r="E51" s="75">
        <v>47</v>
      </c>
      <c r="F51" s="18" t="s">
        <v>39</v>
      </c>
      <c r="G51" s="6" t="s">
        <v>168</v>
      </c>
      <c r="H51" s="6" t="s">
        <v>169</v>
      </c>
      <c r="I51" s="49" t="s">
        <v>16</v>
      </c>
      <c r="J51" s="48" t="s">
        <v>170</v>
      </c>
      <c r="K51" s="6" t="s">
        <v>169</v>
      </c>
      <c r="L51" s="176">
        <f t="shared" si="0"/>
        <v>45536</v>
      </c>
      <c r="M51" s="179" t="s">
        <v>129</v>
      </c>
      <c r="N51" s="178" t="s">
        <v>130</v>
      </c>
      <c r="O51" s="165">
        <v>2024</v>
      </c>
    </row>
    <row r="52" ht="40.8" spans="1:15">
      <c r="A52" s="74">
        <v>45536</v>
      </c>
      <c r="B52" s="22" t="s">
        <v>31</v>
      </c>
      <c r="C52" s="81">
        <v>3</v>
      </c>
      <c r="D52" s="41" t="s">
        <v>171</v>
      </c>
      <c r="E52" s="81">
        <v>107</v>
      </c>
      <c r="F52" s="22" t="s">
        <v>39</v>
      </c>
      <c r="G52" s="9" t="s">
        <v>168</v>
      </c>
      <c r="H52" s="41" t="s">
        <v>172</v>
      </c>
      <c r="I52" s="54" t="s">
        <v>16</v>
      </c>
      <c r="J52" s="48" t="s">
        <v>173</v>
      </c>
      <c r="K52" s="9" t="s">
        <v>174</v>
      </c>
      <c r="L52" s="176">
        <f t="shared" si="0"/>
        <v>45536</v>
      </c>
      <c r="M52" s="179" t="s">
        <v>129</v>
      </c>
      <c r="N52" s="178" t="s">
        <v>130</v>
      </c>
      <c r="O52" s="165">
        <v>2024</v>
      </c>
    </row>
    <row r="53" spans="1:15">
      <c r="A53" s="74">
        <v>45536</v>
      </c>
      <c r="B53" s="20" t="s">
        <v>31</v>
      </c>
      <c r="C53" s="77">
        <v>3</v>
      </c>
      <c r="D53" s="35" t="s">
        <v>175</v>
      </c>
      <c r="E53" s="77">
        <v>4</v>
      </c>
      <c r="F53" s="20" t="s">
        <v>176</v>
      </c>
      <c r="G53" s="7" t="s">
        <v>177</v>
      </c>
      <c r="H53" s="7" t="s">
        <v>178</v>
      </c>
      <c r="I53" s="51" t="s">
        <v>16</v>
      </c>
      <c r="J53" s="50" t="s">
        <v>176</v>
      </c>
      <c r="K53" s="7" t="s">
        <v>179</v>
      </c>
      <c r="L53" s="176">
        <f t="shared" si="0"/>
        <v>45536</v>
      </c>
      <c r="M53" s="179" t="s">
        <v>129</v>
      </c>
      <c r="N53" s="178" t="s">
        <v>130</v>
      </c>
      <c r="O53" s="165">
        <v>2024</v>
      </c>
    </row>
    <row r="54" ht="40.8" spans="1:15">
      <c r="A54" s="74">
        <v>45536</v>
      </c>
      <c r="B54" s="21" t="s">
        <v>80</v>
      </c>
      <c r="C54" s="80">
        <v>2</v>
      </c>
      <c r="D54" s="39" t="s">
        <v>180</v>
      </c>
      <c r="E54" s="80">
        <v>414</v>
      </c>
      <c r="F54" s="21" t="s">
        <v>44</v>
      </c>
      <c r="G54" s="8" t="s">
        <v>181</v>
      </c>
      <c r="H54" s="39" t="s">
        <v>137</v>
      </c>
      <c r="I54" s="53" t="s">
        <v>16</v>
      </c>
      <c r="J54" s="55" t="s">
        <v>36</v>
      </c>
      <c r="K54" s="8" t="s">
        <v>182</v>
      </c>
      <c r="L54" s="176">
        <f t="shared" si="0"/>
        <v>45536</v>
      </c>
      <c r="M54" s="179" t="s">
        <v>129</v>
      </c>
      <c r="N54" s="178" t="s">
        <v>130</v>
      </c>
      <c r="O54" s="165">
        <v>2024</v>
      </c>
    </row>
    <row r="55" spans="1:15">
      <c r="A55" s="74">
        <v>45536</v>
      </c>
      <c r="B55" s="18" t="s">
        <v>80</v>
      </c>
      <c r="C55" s="75">
        <v>2</v>
      </c>
      <c r="D55" s="32" t="s">
        <v>183</v>
      </c>
      <c r="E55" s="75">
        <v>21</v>
      </c>
      <c r="F55" s="18" t="s">
        <v>13</v>
      </c>
      <c r="G55" s="6" t="s">
        <v>184</v>
      </c>
      <c r="H55" s="6" t="s">
        <v>185</v>
      </c>
      <c r="I55" s="49" t="s">
        <v>16</v>
      </c>
      <c r="J55" s="48" t="s">
        <v>17</v>
      </c>
      <c r="K55" s="6" t="s">
        <v>185</v>
      </c>
      <c r="L55" s="176">
        <f t="shared" si="0"/>
        <v>45536</v>
      </c>
      <c r="M55" s="179" t="s">
        <v>129</v>
      </c>
      <c r="N55" s="178" t="s">
        <v>130</v>
      </c>
      <c r="O55" s="165">
        <v>2024</v>
      </c>
    </row>
    <row r="56" spans="1:15">
      <c r="A56" s="74">
        <v>45536</v>
      </c>
      <c r="B56" s="18" t="s">
        <v>87</v>
      </c>
      <c r="C56" s="75">
        <v>3</v>
      </c>
      <c r="D56" s="32" t="s">
        <v>186</v>
      </c>
      <c r="E56" s="75">
        <v>5</v>
      </c>
      <c r="F56" s="18" t="s">
        <v>49</v>
      </c>
      <c r="G56" s="6" t="s">
        <v>187</v>
      </c>
      <c r="H56" s="6" t="s">
        <v>127</v>
      </c>
      <c r="I56" s="49" t="s">
        <v>16</v>
      </c>
      <c r="J56" s="48" t="s">
        <v>17</v>
      </c>
      <c r="K56" s="6" t="s">
        <v>127</v>
      </c>
      <c r="L56" s="176">
        <f t="shared" si="0"/>
        <v>45536</v>
      </c>
      <c r="M56" s="179" t="s">
        <v>129</v>
      </c>
      <c r="N56" s="178" t="s">
        <v>130</v>
      </c>
      <c r="O56" s="165">
        <v>2024</v>
      </c>
    </row>
    <row r="57" spans="1:15">
      <c r="A57" s="74">
        <v>45536</v>
      </c>
      <c r="B57" s="18" t="s">
        <v>87</v>
      </c>
      <c r="C57" s="75">
        <v>3</v>
      </c>
      <c r="D57" s="32" t="s">
        <v>188</v>
      </c>
      <c r="E57" s="75">
        <v>57</v>
      </c>
      <c r="F57" s="18" t="s">
        <v>49</v>
      </c>
      <c r="G57" s="6" t="s">
        <v>187</v>
      </c>
      <c r="H57" s="32" t="s">
        <v>189</v>
      </c>
      <c r="I57" s="49" t="s">
        <v>16</v>
      </c>
      <c r="J57" s="48" t="s">
        <v>17</v>
      </c>
      <c r="K57" s="6" t="s">
        <v>190</v>
      </c>
      <c r="L57" s="176">
        <f t="shared" si="0"/>
        <v>45536</v>
      </c>
      <c r="M57" s="179" t="s">
        <v>129</v>
      </c>
      <c r="N57" s="178" t="s">
        <v>130</v>
      </c>
      <c r="O57" s="165">
        <v>2024</v>
      </c>
    </row>
    <row r="58" spans="1:15">
      <c r="A58" s="74">
        <v>45536</v>
      </c>
      <c r="B58" s="18" t="s">
        <v>87</v>
      </c>
      <c r="C58" s="75">
        <v>3</v>
      </c>
      <c r="D58" s="32" t="s">
        <v>191</v>
      </c>
      <c r="E58" s="75">
        <v>45</v>
      </c>
      <c r="F58" s="18" t="s">
        <v>53</v>
      </c>
      <c r="G58" s="6" t="s">
        <v>192</v>
      </c>
      <c r="H58" s="6" t="s">
        <v>193</v>
      </c>
      <c r="I58" s="49" t="s">
        <v>16</v>
      </c>
      <c r="J58" s="48" t="s">
        <v>17</v>
      </c>
      <c r="K58" s="6" t="s">
        <v>193</v>
      </c>
      <c r="L58" s="176">
        <f t="shared" si="0"/>
        <v>45536</v>
      </c>
      <c r="M58" s="179" t="s">
        <v>129</v>
      </c>
      <c r="N58" s="178" t="s">
        <v>130</v>
      </c>
      <c r="O58" s="165">
        <v>2024</v>
      </c>
    </row>
    <row r="59" spans="1:15">
      <c r="A59" s="79">
        <v>45536</v>
      </c>
      <c r="B59" s="21" t="s">
        <v>87</v>
      </c>
      <c r="C59" s="80">
        <v>3</v>
      </c>
      <c r="D59" s="39" t="s">
        <v>194</v>
      </c>
      <c r="E59" s="80">
        <v>75</v>
      </c>
      <c r="F59" s="21" t="s">
        <v>27</v>
      </c>
      <c r="G59" s="8" t="s">
        <v>195</v>
      </c>
      <c r="H59" s="8" t="s">
        <v>196</v>
      </c>
      <c r="I59" s="53" t="s">
        <v>16</v>
      </c>
      <c r="J59" s="55" t="s">
        <v>17</v>
      </c>
      <c r="K59" s="8" t="s">
        <v>196</v>
      </c>
      <c r="L59" s="176">
        <f t="shared" si="0"/>
        <v>45536</v>
      </c>
      <c r="M59" s="180" t="s">
        <v>129</v>
      </c>
      <c r="N59" s="178" t="s">
        <v>130</v>
      </c>
      <c r="O59" s="165">
        <v>2024</v>
      </c>
    </row>
    <row r="60" spans="1:15">
      <c r="A60" s="74">
        <v>45536</v>
      </c>
      <c r="B60" s="18" t="s">
        <v>87</v>
      </c>
      <c r="C60" s="75">
        <v>3</v>
      </c>
      <c r="D60" s="32" t="s">
        <v>23</v>
      </c>
      <c r="E60" s="75">
        <v>75</v>
      </c>
      <c r="F60" s="18" t="s">
        <v>73</v>
      </c>
      <c r="G60" s="6" t="s">
        <v>197</v>
      </c>
      <c r="H60" s="6" t="s">
        <v>26</v>
      </c>
      <c r="I60" s="49" t="s">
        <v>16</v>
      </c>
      <c r="J60" s="56" t="s">
        <v>36</v>
      </c>
      <c r="K60" s="6" t="s">
        <v>26</v>
      </c>
      <c r="L60" s="176">
        <f t="shared" si="0"/>
        <v>45536</v>
      </c>
      <c r="M60" s="179" t="s">
        <v>129</v>
      </c>
      <c r="N60" s="178" t="s">
        <v>130</v>
      </c>
      <c r="O60" s="165">
        <v>2024</v>
      </c>
    </row>
    <row r="61" spans="1:15">
      <c r="A61" s="74">
        <v>45536</v>
      </c>
      <c r="B61" s="18" t="s">
        <v>87</v>
      </c>
      <c r="C61" s="75">
        <v>3</v>
      </c>
      <c r="D61" s="32" t="s">
        <v>29</v>
      </c>
      <c r="E61" s="75">
        <v>17</v>
      </c>
      <c r="F61" s="18" t="s">
        <v>73</v>
      </c>
      <c r="G61" s="6" t="s">
        <v>197</v>
      </c>
      <c r="H61" s="6" t="s">
        <v>26</v>
      </c>
      <c r="I61" s="49" t="s">
        <v>16</v>
      </c>
      <c r="J61" s="56" t="s">
        <v>36</v>
      </c>
      <c r="K61" s="6" t="s">
        <v>26</v>
      </c>
      <c r="L61" s="176">
        <f t="shared" si="0"/>
        <v>45536</v>
      </c>
      <c r="M61" s="179" t="s">
        <v>129</v>
      </c>
      <c r="N61" s="178" t="s">
        <v>130</v>
      </c>
      <c r="O61" s="165">
        <v>2024</v>
      </c>
    </row>
    <row r="62" spans="1:15">
      <c r="A62" s="74">
        <v>45536</v>
      </c>
      <c r="B62" s="18" t="s">
        <v>87</v>
      </c>
      <c r="C62" s="75">
        <v>3</v>
      </c>
      <c r="D62" s="32" t="s">
        <v>30</v>
      </c>
      <c r="E62" s="75">
        <v>42</v>
      </c>
      <c r="F62" s="18" t="s">
        <v>73</v>
      </c>
      <c r="G62" s="6" t="s">
        <v>197</v>
      </c>
      <c r="H62" s="6" t="s">
        <v>26</v>
      </c>
      <c r="I62" s="49" t="s">
        <v>16</v>
      </c>
      <c r="J62" s="56" t="s">
        <v>36</v>
      </c>
      <c r="K62" s="6" t="s">
        <v>26</v>
      </c>
      <c r="L62" s="176">
        <f t="shared" si="0"/>
        <v>45536</v>
      </c>
      <c r="M62" s="179" t="s">
        <v>129</v>
      </c>
      <c r="N62" s="178" t="s">
        <v>130</v>
      </c>
      <c r="O62" s="165">
        <v>2024</v>
      </c>
    </row>
    <row r="63" ht="40.8" spans="1:15">
      <c r="A63" s="74">
        <v>45536</v>
      </c>
      <c r="B63" s="18" t="s">
        <v>87</v>
      </c>
      <c r="C63" s="75">
        <v>3</v>
      </c>
      <c r="D63" s="32" t="s">
        <v>198</v>
      </c>
      <c r="E63" s="75">
        <v>100</v>
      </c>
      <c r="F63" s="18" t="s">
        <v>39</v>
      </c>
      <c r="G63" s="6" t="s">
        <v>199</v>
      </c>
      <c r="H63" s="6" t="s">
        <v>141</v>
      </c>
      <c r="I63" s="49" t="s">
        <v>16</v>
      </c>
      <c r="J63" s="56" t="s">
        <v>200</v>
      </c>
      <c r="K63" s="6" t="s">
        <v>141</v>
      </c>
      <c r="L63" s="176">
        <f t="shared" si="0"/>
        <v>45536</v>
      </c>
      <c r="M63" s="179" t="s">
        <v>129</v>
      </c>
      <c r="N63" s="178" t="s">
        <v>130</v>
      </c>
      <c r="O63" s="165">
        <v>2024</v>
      </c>
    </row>
    <row r="64" ht="40.8" spans="1:15">
      <c r="A64" s="74">
        <v>45536</v>
      </c>
      <c r="B64" s="18" t="s">
        <v>87</v>
      </c>
      <c r="C64" s="75">
        <v>3</v>
      </c>
      <c r="D64" s="32" t="s">
        <v>201</v>
      </c>
      <c r="E64" s="75">
        <v>7</v>
      </c>
      <c r="F64" s="18" t="s">
        <v>39</v>
      </c>
      <c r="G64" s="6" t="s">
        <v>199</v>
      </c>
      <c r="H64" s="6" t="s">
        <v>141</v>
      </c>
      <c r="I64" s="49" t="s">
        <v>16</v>
      </c>
      <c r="J64" s="56" t="s">
        <v>200</v>
      </c>
      <c r="K64" s="6" t="s">
        <v>141</v>
      </c>
      <c r="L64" s="176">
        <f t="shared" si="0"/>
        <v>45536</v>
      </c>
      <c r="M64" s="179" t="s">
        <v>129</v>
      </c>
      <c r="N64" s="178" t="s">
        <v>130</v>
      </c>
      <c r="O64" s="165">
        <v>2024</v>
      </c>
    </row>
    <row r="65" ht="40.8" spans="1:15">
      <c r="A65" s="74">
        <v>45536</v>
      </c>
      <c r="B65" s="18" t="s">
        <v>87</v>
      </c>
      <c r="C65" s="75">
        <v>3</v>
      </c>
      <c r="D65" s="32" t="s">
        <v>202</v>
      </c>
      <c r="E65" s="75">
        <v>81</v>
      </c>
      <c r="F65" s="18" t="s">
        <v>39</v>
      </c>
      <c r="G65" s="6" t="s">
        <v>199</v>
      </c>
      <c r="H65" s="6" t="s">
        <v>203</v>
      </c>
      <c r="I65" s="49" t="s">
        <v>16</v>
      </c>
      <c r="J65" s="56" t="s">
        <v>204</v>
      </c>
      <c r="K65" s="6" t="s">
        <v>203</v>
      </c>
      <c r="L65" s="176">
        <f t="shared" si="0"/>
        <v>45536</v>
      </c>
      <c r="M65" s="179" t="s">
        <v>129</v>
      </c>
      <c r="N65" s="178" t="s">
        <v>130</v>
      </c>
      <c r="O65" s="165">
        <v>2024</v>
      </c>
    </row>
    <row r="66" ht="40.8" spans="1:15">
      <c r="A66" s="88">
        <v>45536</v>
      </c>
      <c r="B66" s="22" t="s">
        <v>87</v>
      </c>
      <c r="C66" s="81">
        <v>3</v>
      </c>
      <c r="D66" s="41" t="s">
        <v>205</v>
      </c>
      <c r="E66" s="81">
        <v>26</v>
      </c>
      <c r="F66" s="22" t="s">
        <v>39</v>
      </c>
      <c r="G66" s="9" t="s">
        <v>199</v>
      </c>
      <c r="H66" s="9" t="s">
        <v>203</v>
      </c>
      <c r="I66" s="54" t="s">
        <v>16</v>
      </c>
      <c r="J66" s="56" t="s">
        <v>204</v>
      </c>
      <c r="K66" s="9" t="s">
        <v>203</v>
      </c>
      <c r="L66" s="176">
        <f t="shared" si="0"/>
        <v>45536</v>
      </c>
      <c r="M66" s="181" t="s">
        <v>129</v>
      </c>
      <c r="N66" s="178" t="s">
        <v>130</v>
      </c>
      <c r="O66" s="165">
        <v>2024</v>
      </c>
    </row>
    <row r="67" ht="40.8" spans="1:15">
      <c r="A67" s="78">
        <v>45536</v>
      </c>
      <c r="B67" s="20" t="s">
        <v>87</v>
      </c>
      <c r="C67" s="77">
        <v>3</v>
      </c>
      <c r="D67" s="35" t="s">
        <v>206</v>
      </c>
      <c r="E67" s="51">
        <v>4</v>
      </c>
      <c r="F67" s="23" t="s">
        <v>207</v>
      </c>
      <c r="G67" s="7" t="s">
        <v>208</v>
      </c>
      <c r="H67" s="7" t="s">
        <v>209</v>
      </c>
      <c r="I67" s="59" t="s">
        <v>16</v>
      </c>
      <c r="J67" s="58" t="s">
        <v>17</v>
      </c>
      <c r="K67" s="7" t="s">
        <v>210</v>
      </c>
      <c r="L67" s="176">
        <f t="shared" si="0"/>
        <v>45536</v>
      </c>
      <c r="M67" s="23" t="s">
        <v>129</v>
      </c>
      <c r="N67" s="178" t="s">
        <v>130</v>
      </c>
      <c r="O67" s="165">
        <v>2024</v>
      </c>
    </row>
    <row r="68" spans="1:15">
      <c r="A68" s="79">
        <v>45537</v>
      </c>
      <c r="B68" s="21" t="s">
        <v>11</v>
      </c>
      <c r="C68" s="80">
        <v>2</v>
      </c>
      <c r="D68" s="39" t="s">
        <v>211</v>
      </c>
      <c r="E68" s="80">
        <v>73</v>
      </c>
      <c r="F68" s="21" t="s">
        <v>27</v>
      </c>
      <c r="G68" s="8" t="s">
        <v>212</v>
      </c>
      <c r="H68" s="8" t="s">
        <v>213</v>
      </c>
      <c r="I68" s="53" t="s">
        <v>115</v>
      </c>
      <c r="J68" s="55" t="s">
        <v>17</v>
      </c>
      <c r="K68" s="8" t="s">
        <v>213</v>
      </c>
      <c r="L68" s="176">
        <f t="shared" si="0"/>
        <v>45537</v>
      </c>
      <c r="M68" s="180" t="s">
        <v>129</v>
      </c>
      <c r="N68" s="178" t="s">
        <v>214</v>
      </c>
      <c r="O68" s="165">
        <v>2024</v>
      </c>
    </row>
    <row r="69" spans="1:15">
      <c r="A69" s="74">
        <v>45537</v>
      </c>
      <c r="B69" s="18" t="s">
        <v>11</v>
      </c>
      <c r="C69" s="75">
        <v>2</v>
      </c>
      <c r="D69" s="32" t="s">
        <v>215</v>
      </c>
      <c r="E69" s="75">
        <v>89</v>
      </c>
      <c r="F69" s="18" t="s">
        <v>77</v>
      </c>
      <c r="G69" s="6" t="s">
        <v>216</v>
      </c>
      <c r="H69" s="32" t="s">
        <v>118</v>
      </c>
      <c r="I69" s="49" t="s">
        <v>16</v>
      </c>
      <c r="J69" s="48" t="s">
        <v>17</v>
      </c>
      <c r="K69" s="6" t="s">
        <v>217</v>
      </c>
      <c r="L69" s="176">
        <f t="shared" ref="L69:L132" si="1">DATE(2024,M69,N69)</f>
        <v>45537</v>
      </c>
      <c r="M69" s="179" t="s">
        <v>129</v>
      </c>
      <c r="N69" s="178" t="s">
        <v>214</v>
      </c>
      <c r="O69" s="165">
        <v>2024</v>
      </c>
    </row>
    <row r="70" ht="102" spans="1:15">
      <c r="A70" s="74">
        <v>45537</v>
      </c>
      <c r="B70" s="18" t="s">
        <v>31</v>
      </c>
      <c r="C70" s="75">
        <v>3</v>
      </c>
      <c r="D70" s="32" t="s">
        <v>218</v>
      </c>
      <c r="E70" s="75">
        <v>414</v>
      </c>
      <c r="F70" s="18" t="s">
        <v>44</v>
      </c>
      <c r="G70" s="6" t="s">
        <v>219</v>
      </c>
      <c r="H70" s="32" t="s">
        <v>220</v>
      </c>
      <c r="I70" s="49" t="s">
        <v>16</v>
      </c>
      <c r="J70" s="48" t="s">
        <v>36</v>
      </c>
      <c r="K70" s="6" t="s">
        <v>221</v>
      </c>
      <c r="L70" s="176">
        <f t="shared" si="1"/>
        <v>45537</v>
      </c>
      <c r="M70" s="179" t="s">
        <v>129</v>
      </c>
      <c r="N70" s="178" t="s">
        <v>214</v>
      </c>
      <c r="O70" s="165">
        <v>2024</v>
      </c>
    </row>
    <row r="71" ht="102" spans="1:15">
      <c r="A71" s="74">
        <v>45537</v>
      </c>
      <c r="B71" s="18" t="s">
        <v>31</v>
      </c>
      <c r="C71" s="75">
        <v>3</v>
      </c>
      <c r="D71" s="32" t="s">
        <v>218</v>
      </c>
      <c r="E71" s="75">
        <v>266</v>
      </c>
      <c r="F71" s="18" t="s">
        <v>58</v>
      </c>
      <c r="G71" s="6" t="s">
        <v>222</v>
      </c>
      <c r="H71" s="32" t="s">
        <v>220</v>
      </c>
      <c r="I71" s="49" t="s">
        <v>16</v>
      </c>
      <c r="J71" s="48" t="s">
        <v>36</v>
      </c>
      <c r="K71" s="6" t="s">
        <v>221</v>
      </c>
      <c r="L71" s="176">
        <f t="shared" si="1"/>
        <v>45537</v>
      </c>
      <c r="M71" s="179" t="s">
        <v>129</v>
      </c>
      <c r="N71" s="178" t="s">
        <v>214</v>
      </c>
      <c r="O71" s="165">
        <v>2024</v>
      </c>
    </row>
    <row r="72" ht="102" spans="1:15">
      <c r="A72" s="74">
        <v>45537</v>
      </c>
      <c r="B72" s="18" t="s">
        <v>31</v>
      </c>
      <c r="C72" s="75">
        <v>3</v>
      </c>
      <c r="D72" s="32" t="s">
        <v>218</v>
      </c>
      <c r="E72" s="75">
        <v>104</v>
      </c>
      <c r="F72" s="18" t="s">
        <v>33</v>
      </c>
      <c r="G72" s="6" t="s">
        <v>223</v>
      </c>
      <c r="H72" s="32" t="s">
        <v>220</v>
      </c>
      <c r="I72" s="49" t="s">
        <v>16</v>
      </c>
      <c r="J72" s="48" t="s">
        <v>36</v>
      </c>
      <c r="K72" s="6" t="s">
        <v>221</v>
      </c>
      <c r="L72" s="176">
        <f t="shared" si="1"/>
        <v>45537</v>
      </c>
      <c r="M72" s="179" t="s">
        <v>129</v>
      </c>
      <c r="N72" s="178" t="s">
        <v>214</v>
      </c>
      <c r="O72" s="165">
        <v>2024</v>
      </c>
    </row>
    <row r="73" ht="102" spans="1:15">
      <c r="A73" s="74">
        <v>45537</v>
      </c>
      <c r="B73" s="18" t="s">
        <v>31</v>
      </c>
      <c r="C73" s="75">
        <v>3</v>
      </c>
      <c r="D73" s="32" t="s">
        <v>224</v>
      </c>
      <c r="E73" s="75">
        <v>115</v>
      </c>
      <c r="F73" s="18" t="s">
        <v>73</v>
      </c>
      <c r="G73" s="6" t="s">
        <v>225</v>
      </c>
      <c r="H73" s="32" t="s">
        <v>220</v>
      </c>
      <c r="I73" s="49" t="s">
        <v>16</v>
      </c>
      <c r="J73" s="48" t="s">
        <v>97</v>
      </c>
      <c r="K73" s="6" t="s">
        <v>221</v>
      </c>
      <c r="L73" s="176">
        <f t="shared" si="1"/>
        <v>45537</v>
      </c>
      <c r="M73" s="179" t="s">
        <v>129</v>
      </c>
      <c r="N73" s="178" t="s">
        <v>214</v>
      </c>
      <c r="O73" s="165">
        <v>2024</v>
      </c>
    </row>
    <row r="74" spans="1:15">
      <c r="A74" s="74">
        <v>45537</v>
      </c>
      <c r="B74" s="18" t="s">
        <v>31</v>
      </c>
      <c r="C74" s="75">
        <v>3</v>
      </c>
      <c r="D74" s="32" t="s">
        <v>226</v>
      </c>
      <c r="E74" s="75">
        <v>42</v>
      </c>
      <c r="F74" s="18" t="s">
        <v>73</v>
      </c>
      <c r="G74" s="6" t="s">
        <v>225</v>
      </c>
      <c r="H74" s="32" t="s">
        <v>227</v>
      </c>
      <c r="I74" s="49" t="s">
        <v>16</v>
      </c>
      <c r="J74" s="48" t="s">
        <v>228</v>
      </c>
      <c r="K74" s="6" t="s">
        <v>229</v>
      </c>
      <c r="L74" s="176">
        <f t="shared" si="1"/>
        <v>45537</v>
      </c>
      <c r="M74" s="179" t="s">
        <v>129</v>
      </c>
      <c r="N74" s="178" t="s">
        <v>214</v>
      </c>
      <c r="O74" s="165">
        <v>2024</v>
      </c>
    </row>
    <row r="75" spans="1:15">
      <c r="A75" s="74">
        <v>45537</v>
      </c>
      <c r="B75" s="18" t="s">
        <v>31</v>
      </c>
      <c r="C75" s="75">
        <v>3</v>
      </c>
      <c r="D75" s="32" t="s">
        <v>211</v>
      </c>
      <c r="E75" s="75">
        <v>70</v>
      </c>
      <c r="F75" s="18" t="s">
        <v>49</v>
      </c>
      <c r="G75" s="6" t="s">
        <v>230</v>
      </c>
      <c r="H75" s="6" t="s">
        <v>231</v>
      </c>
      <c r="I75" s="49" t="s">
        <v>16</v>
      </c>
      <c r="J75" s="48" t="s">
        <v>17</v>
      </c>
      <c r="K75" s="6" t="s">
        <v>231</v>
      </c>
      <c r="L75" s="176">
        <f t="shared" si="1"/>
        <v>45537</v>
      </c>
      <c r="M75" s="179" t="s">
        <v>129</v>
      </c>
      <c r="N75" s="178" t="s">
        <v>214</v>
      </c>
      <c r="O75" s="165">
        <v>2024</v>
      </c>
    </row>
    <row r="76" spans="1:15">
      <c r="A76" s="74">
        <v>45537</v>
      </c>
      <c r="B76" s="18" t="s">
        <v>31</v>
      </c>
      <c r="C76" s="75">
        <v>3</v>
      </c>
      <c r="D76" s="32" t="s">
        <v>211</v>
      </c>
      <c r="E76" s="75">
        <v>43</v>
      </c>
      <c r="F76" s="18" t="s">
        <v>53</v>
      </c>
      <c r="G76" s="6" t="s">
        <v>232</v>
      </c>
      <c r="H76" s="6" t="s">
        <v>231</v>
      </c>
      <c r="I76" s="49" t="s">
        <v>16</v>
      </c>
      <c r="J76" s="48" t="s">
        <v>17</v>
      </c>
      <c r="K76" s="6" t="s">
        <v>231</v>
      </c>
      <c r="L76" s="176">
        <f t="shared" si="1"/>
        <v>45537</v>
      </c>
      <c r="M76" s="179" t="s">
        <v>129</v>
      </c>
      <c r="N76" s="178" t="s">
        <v>214</v>
      </c>
      <c r="O76" s="165">
        <v>2024</v>
      </c>
    </row>
    <row r="77" spans="1:15">
      <c r="A77" s="74">
        <v>45537</v>
      </c>
      <c r="B77" s="18" t="s">
        <v>31</v>
      </c>
      <c r="C77" s="75">
        <v>3</v>
      </c>
      <c r="D77" s="32" t="s">
        <v>233</v>
      </c>
      <c r="E77" s="75">
        <v>3</v>
      </c>
      <c r="F77" s="18" t="s">
        <v>53</v>
      </c>
      <c r="G77" s="6" t="s">
        <v>232</v>
      </c>
      <c r="H77" s="6" t="s">
        <v>234</v>
      </c>
      <c r="I77" s="49" t="s">
        <v>16</v>
      </c>
      <c r="J77" s="48" t="s">
        <v>17</v>
      </c>
      <c r="K77" s="6" t="s">
        <v>234</v>
      </c>
      <c r="L77" s="176">
        <f t="shared" si="1"/>
        <v>45537</v>
      </c>
      <c r="M77" s="179" t="s">
        <v>129</v>
      </c>
      <c r="N77" s="178" t="s">
        <v>214</v>
      </c>
      <c r="O77" s="165">
        <v>2024</v>
      </c>
    </row>
    <row r="78" spans="1:15">
      <c r="A78" s="74">
        <v>45537</v>
      </c>
      <c r="B78" s="18" t="s">
        <v>31</v>
      </c>
      <c r="C78" s="75">
        <v>3</v>
      </c>
      <c r="D78" s="32" t="s">
        <v>235</v>
      </c>
      <c r="E78" s="75">
        <v>37</v>
      </c>
      <c r="F78" s="18" t="s">
        <v>24</v>
      </c>
      <c r="G78" s="6" t="s">
        <v>236</v>
      </c>
      <c r="H78" s="6" t="s">
        <v>237</v>
      </c>
      <c r="I78" s="49" t="s">
        <v>115</v>
      </c>
      <c r="J78" s="48" t="s">
        <v>17</v>
      </c>
      <c r="K78" s="6" t="s">
        <v>237</v>
      </c>
      <c r="L78" s="176">
        <f t="shared" si="1"/>
        <v>45537</v>
      </c>
      <c r="M78" s="179" t="s">
        <v>129</v>
      </c>
      <c r="N78" s="178" t="s">
        <v>214</v>
      </c>
      <c r="O78" s="165">
        <v>2024</v>
      </c>
    </row>
    <row r="79" spans="1:15">
      <c r="A79" s="74">
        <v>45537</v>
      </c>
      <c r="B79" s="18" t="s">
        <v>31</v>
      </c>
      <c r="C79" s="75">
        <v>3</v>
      </c>
      <c r="D79" s="32" t="s">
        <v>238</v>
      </c>
      <c r="E79" s="75">
        <v>66</v>
      </c>
      <c r="F79" s="18" t="s">
        <v>135</v>
      </c>
      <c r="G79" s="6" t="s">
        <v>239</v>
      </c>
      <c r="H79" s="6" t="s">
        <v>240</v>
      </c>
      <c r="I79" s="49" t="s">
        <v>16</v>
      </c>
      <c r="J79" s="48" t="s">
        <v>17</v>
      </c>
      <c r="K79" s="6" t="s">
        <v>240</v>
      </c>
      <c r="L79" s="176">
        <f t="shared" si="1"/>
        <v>45537</v>
      </c>
      <c r="M79" s="179" t="s">
        <v>129</v>
      </c>
      <c r="N79" s="178" t="s">
        <v>214</v>
      </c>
      <c r="O79" s="165">
        <v>2024</v>
      </c>
    </row>
    <row r="80" spans="1:15">
      <c r="A80" s="74">
        <v>45537</v>
      </c>
      <c r="B80" s="18" t="s">
        <v>31</v>
      </c>
      <c r="C80" s="75">
        <v>3</v>
      </c>
      <c r="D80" s="32" t="s">
        <v>241</v>
      </c>
      <c r="E80" s="75">
        <v>1</v>
      </c>
      <c r="F80" s="18" t="s">
        <v>135</v>
      </c>
      <c r="G80" s="6" t="s">
        <v>239</v>
      </c>
      <c r="H80" s="6" t="s">
        <v>240</v>
      </c>
      <c r="I80" s="49" t="s">
        <v>16</v>
      </c>
      <c r="J80" s="48" t="s">
        <v>17</v>
      </c>
      <c r="K80" s="6" t="s">
        <v>240</v>
      </c>
      <c r="L80" s="176">
        <f t="shared" si="1"/>
        <v>45537</v>
      </c>
      <c r="M80" s="179" t="s">
        <v>129</v>
      </c>
      <c r="N80" s="178" t="s">
        <v>214</v>
      </c>
      <c r="O80" s="165">
        <v>2024</v>
      </c>
    </row>
    <row r="81" spans="1:15">
      <c r="A81" s="74">
        <v>45537</v>
      </c>
      <c r="B81" s="18" t="s">
        <v>31</v>
      </c>
      <c r="C81" s="75">
        <v>3</v>
      </c>
      <c r="D81" s="32" t="s">
        <v>242</v>
      </c>
      <c r="E81" s="75">
        <v>50</v>
      </c>
      <c r="F81" s="18" t="s">
        <v>104</v>
      </c>
      <c r="G81" s="6" t="s">
        <v>243</v>
      </c>
      <c r="H81" s="6" t="s">
        <v>244</v>
      </c>
      <c r="I81" s="49" t="s">
        <v>16</v>
      </c>
      <c r="J81" s="48" t="s">
        <v>17</v>
      </c>
      <c r="K81" s="6" t="s">
        <v>244</v>
      </c>
      <c r="L81" s="176">
        <f t="shared" si="1"/>
        <v>45537</v>
      </c>
      <c r="M81" s="179" t="s">
        <v>129</v>
      </c>
      <c r="N81" s="178" t="s">
        <v>214</v>
      </c>
      <c r="O81" s="165">
        <v>2024</v>
      </c>
    </row>
    <row r="82" spans="1:15">
      <c r="A82" s="74">
        <v>45537</v>
      </c>
      <c r="B82" s="18" t="s">
        <v>31</v>
      </c>
      <c r="C82" s="75">
        <v>3</v>
      </c>
      <c r="D82" s="32" t="s">
        <v>245</v>
      </c>
      <c r="E82" s="75">
        <v>74</v>
      </c>
      <c r="F82" s="18" t="s">
        <v>246</v>
      </c>
      <c r="G82" s="6" t="s">
        <v>247</v>
      </c>
      <c r="H82" s="6" t="s">
        <v>244</v>
      </c>
      <c r="I82" s="49" t="s">
        <v>16</v>
      </c>
      <c r="J82" s="48" t="s">
        <v>17</v>
      </c>
      <c r="K82" s="6" t="s">
        <v>244</v>
      </c>
      <c r="L82" s="176">
        <f t="shared" si="1"/>
        <v>45537</v>
      </c>
      <c r="M82" s="179" t="s">
        <v>129</v>
      </c>
      <c r="N82" s="178" t="s">
        <v>214</v>
      </c>
      <c r="O82" s="165">
        <v>2024</v>
      </c>
    </row>
    <row r="83" ht="40.8" spans="1:15">
      <c r="A83" s="74">
        <v>45537</v>
      </c>
      <c r="B83" s="18" t="s">
        <v>31</v>
      </c>
      <c r="C83" s="75">
        <v>3</v>
      </c>
      <c r="D83" s="32" t="s">
        <v>248</v>
      </c>
      <c r="E83" s="75">
        <v>7</v>
      </c>
      <c r="F83" s="18" t="s">
        <v>39</v>
      </c>
      <c r="G83" s="6" t="s">
        <v>249</v>
      </c>
      <c r="H83" s="32" t="s">
        <v>250</v>
      </c>
      <c r="I83" s="49" t="s">
        <v>16</v>
      </c>
      <c r="J83" s="48" t="s">
        <v>251</v>
      </c>
      <c r="K83" s="6" t="s">
        <v>252</v>
      </c>
      <c r="L83" s="176">
        <f t="shared" si="1"/>
        <v>45537</v>
      </c>
      <c r="M83" s="179" t="s">
        <v>129</v>
      </c>
      <c r="N83" s="178" t="s">
        <v>214</v>
      </c>
      <c r="O83" s="165">
        <v>2024</v>
      </c>
    </row>
    <row r="84" ht="40.8" spans="1:15">
      <c r="A84" s="74">
        <v>45537</v>
      </c>
      <c r="B84" s="18" t="s">
        <v>31</v>
      </c>
      <c r="C84" s="75">
        <v>3</v>
      </c>
      <c r="D84" s="32" t="s">
        <v>253</v>
      </c>
      <c r="E84" s="75">
        <v>237</v>
      </c>
      <c r="F84" s="18" t="s">
        <v>39</v>
      </c>
      <c r="G84" s="6" t="s">
        <v>249</v>
      </c>
      <c r="H84" s="32" t="s">
        <v>254</v>
      </c>
      <c r="I84" s="49" t="s">
        <v>16</v>
      </c>
      <c r="J84" s="48" t="s">
        <v>255</v>
      </c>
      <c r="K84" s="6" t="s">
        <v>256</v>
      </c>
      <c r="L84" s="176">
        <f t="shared" si="1"/>
        <v>45537</v>
      </c>
      <c r="M84" s="179" t="s">
        <v>129</v>
      </c>
      <c r="N84" s="178" t="s">
        <v>214</v>
      </c>
      <c r="O84" s="165">
        <v>2024</v>
      </c>
    </row>
    <row r="85" ht="40.8" spans="1:15">
      <c r="A85" s="74">
        <v>45537</v>
      </c>
      <c r="B85" s="18" t="s">
        <v>31</v>
      </c>
      <c r="C85" s="75">
        <v>3</v>
      </c>
      <c r="D85" s="32" t="s">
        <v>257</v>
      </c>
      <c r="E85" s="75">
        <v>14</v>
      </c>
      <c r="F85" s="18" t="s">
        <v>39</v>
      </c>
      <c r="G85" s="6" t="s">
        <v>249</v>
      </c>
      <c r="H85" s="32" t="s">
        <v>258</v>
      </c>
      <c r="I85" s="49" t="s">
        <v>16</v>
      </c>
      <c r="J85" s="48" t="s">
        <v>259</v>
      </c>
      <c r="K85" s="6" t="s">
        <v>260</v>
      </c>
      <c r="L85" s="176">
        <f t="shared" si="1"/>
        <v>45537</v>
      </c>
      <c r="M85" s="179" t="s">
        <v>129</v>
      </c>
      <c r="N85" s="178" t="s">
        <v>214</v>
      </c>
      <c r="O85" s="165">
        <v>2024</v>
      </c>
    </row>
    <row r="86" spans="1:15">
      <c r="A86" s="74">
        <v>45537</v>
      </c>
      <c r="B86" s="18" t="s">
        <v>31</v>
      </c>
      <c r="C86" s="75">
        <v>3</v>
      </c>
      <c r="D86" s="32" t="s">
        <v>261</v>
      </c>
      <c r="E86" s="75">
        <v>16</v>
      </c>
      <c r="F86" s="18" t="s">
        <v>104</v>
      </c>
      <c r="G86" s="6" t="s">
        <v>243</v>
      </c>
      <c r="H86" s="6" t="s">
        <v>244</v>
      </c>
      <c r="I86" s="49" t="s">
        <v>16</v>
      </c>
      <c r="J86" s="48" t="s">
        <v>17</v>
      </c>
      <c r="K86" s="6" t="s">
        <v>244</v>
      </c>
      <c r="L86" s="176">
        <f t="shared" si="1"/>
        <v>45537</v>
      </c>
      <c r="M86" s="179" t="s">
        <v>129</v>
      </c>
      <c r="N86" s="178" t="s">
        <v>214</v>
      </c>
      <c r="O86" s="165">
        <v>2024</v>
      </c>
    </row>
    <row r="87" ht="40.8" spans="1:15">
      <c r="A87" s="74">
        <v>45537</v>
      </c>
      <c r="B87" s="18" t="s">
        <v>31</v>
      </c>
      <c r="C87" s="75">
        <v>3</v>
      </c>
      <c r="D87" s="32" t="s">
        <v>262</v>
      </c>
      <c r="E87" s="75">
        <v>70</v>
      </c>
      <c r="F87" s="18" t="s">
        <v>63</v>
      </c>
      <c r="G87" s="6" t="s">
        <v>263</v>
      </c>
      <c r="H87" s="32" t="s">
        <v>264</v>
      </c>
      <c r="I87" s="49" t="s">
        <v>16</v>
      </c>
      <c r="J87" s="48" t="s">
        <v>17</v>
      </c>
      <c r="K87" s="6" t="s">
        <v>265</v>
      </c>
      <c r="L87" s="176">
        <f t="shared" si="1"/>
        <v>45537</v>
      </c>
      <c r="M87" s="179" t="s">
        <v>129</v>
      </c>
      <c r="N87" s="178" t="s">
        <v>214</v>
      </c>
      <c r="O87" s="165">
        <v>2024</v>
      </c>
    </row>
    <row r="88" ht="40.8" spans="1:15">
      <c r="A88" s="74">
        <v>45537</v>
      </c>
      <c r="B88" s="18" t="s">
        <v>31</v>
      </c>
      <c r="C88" s="75">
        <v>3</v>
      </c>
      <c r="D88" s="32" t="s">
        <v>262</v>
      </c>
      <c r="E88" s="75">
        <v>21</v>
      </c>
      <c r="F88" s="18" t="s">
        <v>53</v>
      </c>
      <c r="G88" s="6" t="s">
        <v>232</v>
      </c>
      <c r="H88" s="32" t="s">
        <v>264</v>
      </c>
      <c r="I88" s="49" t="s">
        <v>16</v>
      </c>
      <c r="J88" s="48" t="s">
        <v>17</v>
      </c>
      <c r="K88" s="6" t="s">
        <v>265</v>
      </c>
      <c r="L88" s="176">
        <f t="shared" si="1"/>
        <v>45537</v>
      </c>
      <c r="M88" s="179" t="s">
        <v>129</v>
      </c>
      <c r="N88" s="178" t="s">
        <v>214</v>
      </c>
      <c r="O88" s="165">
        <v>2024</v>
      </c>
    </row>
    <row r="89" spans="1:15">
      <c r="A89" s="74">
        <v>45537</v>
      </c>
      <c r="B89" s="18" t="s">
        <v>31</v>
      </c>
      <c r="C89" s="75">
        <v>3</v>
      </c>
      <c r="D89" s="32" t="s">
        <v>205</v>
      </c>
      <c r="E89" s="75">
        <v>26</v>
      </c>
      <c r="F89" s="18" t="s">
        <v>266</v>
      </c>
      <c r="G89" s="6" t="s">
        <v>267</v>
      </c>
      <c r="H89" s="6" t="s">
        <v>203</v>
      </c>
      <c r="I89" s="49" t="s">
        <v>16</v>
      </c>
      <c r="J89" s="48" t="s">
        <v>17</v>
      </c>
      <c r="K89" s="6" t="s">
        <v>203</v>
      </c>
      <c r="L89" s="176">
        <f t="shared" si="1"/>
        <v>45537</v>
      </c>
      <c r="M89" s="179" t="s">
        <v>129</v>
      </c>
      <c r="N89" s="178" t="s">
        <v>214</v>
      </c>
      <c r="O89" s="165">
        <v>2024</v>
      </c>
    </row>
    <row r="90" spans="1:15">
      <c r="A90" s="74">
        <v>45537</v>
      </c>
      <c r="B90" s="18" t="s">
        <v>31</v>
      </c>
      <c r="C90" s="75">
        <v>3</v>
      </c>
      <c r="D90" s="32" t="s">
        <v>202</v>
      </c>
      <c r="E90" s="75">
        <v>81</v>
      </c>
      <c r="F90" s="18" t="s">
        <v>68</v>
      </c>
      <c r="G90" s="6" t="s">
        <v>268</v>
      </c>
      <c r="H90" s="6" t="s">
        <v>203</v>
      </c>
      <c r="I90" s="49" t="s">
        <v>115</v>
      </c>
      <c r="J90" s="48" t="s">
        <v>17</v>
      </c>
      <c r="K90" s="6" t="s">
        <v>203</v>
      </c>
      <c r="L90" s="176">
        <f t="shared" si="1"/>
        <v>45537</v>
      </c>
      <c r="M90" s="179" t="s">
        <v>129</v>
      </c>
      <c r="N90" s="178" t="s">
        <v>214</v>
      </c>
      <c r="O90" s="165">
        <v>2024</v>
      </c>
    </row>
    <row r="91" spans="1:15">
      <c r="A91" s="74">
        <v>45537</v>
      </c>
      <c r="B91" s="20" t="s">
        <v>31</v>
      </c>
      <c r="C91" s="77">
        <v>3</v>
      </c>
      <c r="D91" s="35" t="s">
        <v>269</v>
      </c>
      <c r="E91" s="77">
        <v>55</v>
      </c>
      <c r="F91" s="20" t="s">
        <v>163</v>
      </c>
      <c r="G91" s="7" t="s">
        <v>270</v>
      </c>
      <c r="H91" s="35" t="s">
        <v>271</v>
      </c>
      <c r="I91" s="51" t="s">
        <v>115</v>
      </c>
      <c r="J91" s="50" t="s">
        <v>17</v>
      </c>
      <c r="K91" s="7" t="s">
        <v>272</v>
      </c>
      <c r="L91" s="176">
        <f t="shared" si="1"/>
        <v>45537</v>
      </c>
      <c r="M91" s="179" t="s">
        <v>129</v>
      </c>
      <c r="N91" s="178" t="s">
        <v>214</v>
      </c>
      <c r="O91" s="165">
        <v>2024</v>
      </c>
    </row>
    <row r="92" ht="40.8" spans="1:15">
      <c r="A92" s="74">
        <v>45537</v>
      </c>
      <c r="B92" s="21" t="s">
        <v>87</v>
      </c>
      <c r="C92" s="80">
        <v>3</v>
      </c>
      <c r="D92" s="39" t="s">
        <v>273</v>
      </c>
      <c r="E92" s="80">
        <v>143</v>
      </c>
      <c r="F92" s="21" t="s">
        <v>44</v>
      </c>
      <c r="G92" s="8" t="s">
        <v>274</v>
      </c>
      <c r="H92" s="8" t="s">
        <v>275</v>
      </c>
      <c r="I92" s="53" t="s">
        <v>16</v>
      </c>
      <c r="J92" s="55" t="s">
        <v>276</v>
      </c>
      <c r="K92" s="8" t="s">
        <v>275</v>
      </c>
      <c r="L92" s="176">
        <f t="shared" si="1"/>
        <v>45537</v>
      </c>
      <c r="M92" s="179" t="s">
        <v>129</v>
      </c>
      <c r="N92" s="178" t="s">
        <v>214</v>
      </c>
      <c r="O92" s="165">
        <v>2024</v>
      </c>
    </row>
    <row r="93" ht="40.8" spans="1:15">
      <c r="A93" s="74">
        <v>45537</v>
      </c>
      <c r="B93" s="18" t="s">
        <v>87</v>
      </c>
      <c r="C93" s="75">
        <v>3</v>
      </c>
      <c r="D93" s="32" t="s">
        <v>277</v>
      </c>
      <c r="E93" s="75">
        <v>138</v>
      </c>
      <c r="F93" s="18" t="s">
        <v>44</v>
      </c>
      <c r="G93" s="6" t="s">
        <v>274</v>
      </c>
      <c r="H93" s="6" t="s">
        <v>118</v>
      </c>
      <c r="I93" s="49" t="s">
        <v>16</v>
      </c>
      <c r="J93" s="48" t="s">
        <v>278</v>
      </c>
      <c r="K93" s="6" t="s">
        <v>118</v>
      </c>
      <c r="L93" s="176">
        <f t="shared" si="1"/>
        <v>45537</v>
      </c>
      <c r="M93" s="179" t="s">
        <v>129</v>
      </c>
      <c r="N93" s="178" t="s">
        <v>214</v>
      </c>
      <c r="O93" s="165">
        <v>2024</v>
      </c>
    </row>
    <row r="94" ht="40.8" spans="1:15">
      <c r="A94" s="74">
        <v>45537</v>
      </c>
      <c r="B94" s="18" t="s">
        <v>87</v>
      </c>
      <c r="C94" s="75">
        <v>3</v>
      </c>
      <c r="D94" s="32" t="s">
        <v>279</v>
      </c>
      <c r="E94" s="75">
        <v>109</v>
      </c>
      <c r="F94" s="18" t="s">
        <v>44</v>
      </c>
      <c r="G94" s="6" t="s">
        <v>274</v>
      </c>
      <c r="H94" s="6" t="s">
        <v>79</v>
      </c>
      <c r="I94" s="49" t="s">
        <v>16</v>
      </c>
      <c r="J94" s="48" t="s">
        <v>280</v>
      </c>
      <c r="K94" s="6" t="s">
        <v>79</v>
      </c>
      <c r="L94" s="176">
        <f t="shared" si="1"/>
        <v>45537</v>
      </c>
      <c r="M94" s="179" t="s">
        <v>129</v>
      </c>
      <c r="N94" s="178" t="s">
        <v>214</v>
      </c>
      <c r="O94" s="165">
        <v>2024</v>
      </c>
    </row>
    <row r="95" spans="1:15">
      <c r="A95" s="74">
        <v>45537</v>
      </c>
      <c r="B95" s="18" t="s">
        <v>87</v>
      </c>
      <c r="C95" s="75">
        <v>3</v>
      </c>
      <c r="D95" s="32" t="s">
        <v>281</v>
      </c>
      <c r="E95" s="75">
        <v>17</v>
      </c>
      <c r="F95" s="18" t="s">
        <v>13</v>
      </c>
      <c r="G95" s="6" t="s">
        <v>282</v>
      </c>
      <c r="H95" s="6" t="s">
        <v>147</v>
      </c>
      <c r="I95" s="49" t="s">
        <v>16</v>
      </c>
      <c r="J95" s="48" t="s">
        <v>17</v>
      </c>
      <c r="K95" s="6" t="s">
        <v>147</v>
      </c>
      <c r="L95" s="176">
        <f t="shared" si="1"/>
        <v>45537</v>
      </c>
      <c r="M95" s="179" t="s">
        <v>129</v>
      </c>
      <c r="N95" s="178" t="s">
        <v>214</v>
      </c>
      <c r="O95" s="165">
        <v>2024</v>
      </c>
    </row>
    <row r="96" ht="40.8" spans="1:15">
      <c r="A96" s="74">
        <v>45537</v>
      </c>
      <c r="B96" s="18" t="s">
        <v>87</v>
      </c>
      <c r="C96" s="75">
        <v>3</v>
      </c>
      <c r="D96" s="32" t="s">
        <v>283</v>
      </c>
      <c r="E96" s="75">
        <v>44</v>
      </c>
      <c r="F96" s="18" t="s">
        <v>13</v>
      </c>
      <c r="G96" s="6" t="s">
        <v>282</v>
      </c>
      <c r="H96" s="32" t="s">
        <v>284</v>
      </c>
      <c r="I96" s="49" t="s">
        <v>16</v>
      </c>
      <c r="J96" s="48" t="s">
        <v>17</v>
      </c>
      <c r="K96" s="6" t="s">
        <v>285</v>
      </c>
      <c r="L96" s="176">
        <f t="shared" si="1"/>
        <v>45537</v>
      </c>
      <c r="M96" s="179" t="s">
        <v>129</v>
      </c>
      <c r="N96" s="178" t="s">
        <v>214</v>
      </c>
      <c r="O96" s="165">
        <v>2024</v>
      </c>
    </row>
    <row r="97" ht="102" spans="1:15">
      <c r="A97" s="74">
        <v>45537</v>
      </c>
      <c r="B97" s="18" t="s">
        <v>87</v>
      </c>
      <c r="C97" s="75">
        <v>3</v>
      </c>
      <c r="D97" s="32" t="s">
        <v>286</v>
      </c>
      <c r="E97" s="75">
        <v>208</v>
      </c>
      <c r="F97" s="18" t="s">
        <v>39</v>
      </c>
      <c r="G97" s="6" t="s">
        <v>287</v>
      </c>
      <c r="H97" s="32" t="s">
        <v>55</v>
      </c>
      <c r="I97" s="49" t="s">
        <v>16</v>
      </c>
      <c r="J97" s="48" t="s">
        <v>36</v>
      </c>
      <c r="K97" s="6" t="s">
        <v>288</v>
      </c>
      <c r="L97" s="176">
        <f t="shared" si="1"/>
        <v>45537</v>
      </c>
      <c r="M97" s="179" t="s">
        <v>129</v>
      </c>
      <c r="N97" s="178" t="s">
        <v>214</v>
      </c>
      <c r="O97" s="165">
        <v>2024</v>
      </c>
    </row>
    <row r="98" ht="102" spans="1:15">
      <c r="A98" s="74">
        <v>45537</v>
      </c>
      <c r="B98" s="18" t="s">
        <v>87</v>
      </c>
      <c r="C98" s="75">
        <v>3</v>
      </c>
      <c r="D98" s="32" t="s">
        <v>286</v>
      </c>
      <c r="E98" s="75">
        <v>207</v>
      </c>
      <c r="F98" s="18" t="s">
        <v>58</v>
      </c>
      <c r="G98" s="6" t="s">
        <v>289</v>
      </c>
      <c r="H98" s="32" t="s">
        <v>55</v>
      </c>
      <c r="I98" s="49" t="s">
        <v>16</v>
      </c>
      <c r="J98" s="48" t="s">
        <v>36</v>
      </c>
      <c r="K98" s="6" t="s">
        <v>288</v>
      </c>
      <c r="L98" s="176">
        <f t="shared" si="1"/>
        <v>45537</v>
      </c>
      <c r="M98" s="179" t="s">
        <v>129</v>
      </c>
      <c r="N98" s="178" t="s">
        <v>214</v>
      </c>
      <c r="O98" s="165">
        <v>2024</v>
      </c>
    </row>
    <row r="99" ht="102" spans="1:15">
      <c r="A99" s="74">
        <v>45537</v>
      </c>
      <c r="B99" s="18" t="s">
        <v>87</v>
      </c>
      <c r="C99" s="75">
        <v>3</v>
      </c>
      <c r="D99" s="32" t="s">
        <v>286</v>
      </c>
      <c r="E99" s="75">
        <v>185</v>
      </c>
      <c r="F99" s="18" t="s">
        <v>33</v>
      </c>
      <c r="G99" s="6" t="s">
        <v>290</v>
      </c>
      <c r="H99" s="32" t="s">
        <v>55</v>
      </c>
      <c r="I99" s="49" t="s">
        <v>16</v>
      </c>
      <c r="J99" s="48" t="s">
        <v>36</v>
      </c>
      <c r="K99" s="6" t="s">
        <v>288</v>
      </c>
      <c r="L99" s="176">
        <f t="shared" si="1"/>
        <v>45537</v>
      </c>
      <c r="M99" s="179" t="s">
        <v>129</v>
      </c>
      <c r="N99" s="178" t="s">
        <v>214</v>
      </c>
      <c r="O99" s="165">
        <v>2024</v>
      </c>
    </row>
    <row r="100" ht="102" spans="1:15">
      <c r="A100" s="74">
        <v>45537</v>
      </c>
      <c r="B100" s="18" t="s">
        <v>87</v>
      </c>
      <c r="C100" s="75">
        <v>3</v>
      </c>
      <c r="D100" s="32" t="s">
        <v>286</v>
      </c>
      <c r="E100" s="75">
        <v>184</v>
      </c>
      <c r="F100" s="18" t="s">
        <v>73</v>
      </c>
      <c r="G100" s="6" t="s">
        <v>291</v>
      </c>
      <c r="H100" s="32" t="s">
        <v>55</v>
      </c>
      <c r="I100" s="49" t="s">
        <v>16</v>
      </c>
      <c r="J100" s="48" t="s">
        <v>36</v>
      </c>
      <c r="K100" s="6" t="s">
        <v>288</v>
      </c>
      <c r="L100" s="176">
        <f t="shared" si="1"/>
        <v>45537</v>
      </c>
      <c r="M100" s="179" t="s">
        <v>129</v>
      </c>
      <c r="N100" s="178" t="s">
        <v>214</v>
      </c>
      <c r="O100" s="165">
        <v>2024</v>
      </c>
    </row>
    <row r="101" ht="40.8" spans="1:15">
      <c r="A101" s="74">
        <v>45537</v>
      </c>
      <c r="B101" s="18" t="s">
        <v>87</v>
      </c>
      <c r="C101" s="75">
        <v>3</v>
      </c>
      <c r="D101" s="32" t="s">
        <v>292</v>
      </c>
      <c r="E101" s="75">
        <v>16</v>
      </c>
      <c r="F101" s="18" t="s">
        <v>77</v>
      </c>
      <c r="G101" s="6" t="s">
        <v>293</v>
      </c>
      <c r="H101" s="32" t="s">
        <v>294</v>
      </c>
      <c r="I101" s="49" t="s">
        <v>16</v>
      </c>
      <c r="J101" s="48" t="s">
        <v>17</v>
      </c>
      <c r="K101" s="6" t="s">
        <v>295</v>
      </c>
      <c r="L101" s="176">
        <f t="shared" si="1"/>
        <v>45537</v>
      </c>
      <c r="M101" s="179" t="s">
        <v>129</v>
      </c>
      <c r="N101" s="178" t="s">
        <v>214</v>
      </c>
      <c r="O101" s="165">
        <v>2024</v>
      </c>
    </row>
    <row r="102" ht="40.8" spans="1:15">
      <c r="A102" s="74">
        <v>45537</v>
      </c>
      <c r="B102" s="18" t="s">
        <v>87</v>
      </c>
      <c r="C102" s="75">
        <v>3</v>
      </c>
      <c r="D102" s="32" t="s">
        <v>296</v>
      </c>
      <c r="E102" s="75">
        <v>76</v>
      </c>
      <c r="F102" s="18" t="s">
        <v>77</v>
      </c>
      <c r="G102" s="6" t="s">
        <v>293</v>
      </c>
      <c r="H102" s="32" t="s">
        <v>294</v>
      </c>
      <c r="I102" s="49" t="s">
        <v>16</v>
      </c>
      <c r="J102" s="48" t="s">
        <v>17</v>
      </c>
      <c r="K102" s="6" t="s">
        <v>295</v>
      </c>
      <c r="L102" s="176">
        <f t="shared" si="1"/>
        <v>45537</v>
      </c>
      <c r="M102" s="179" t="s">
        <v>129</v>
      </c>
      <c r="N102" s="178" t="s">
        <v>214</v>
      </c>
      <c r="O102" s="165">
        <v>2024</v>
      </c>
    </row>
    <row r="103" spans="1:15">
      <c r="A103" s="74">
        <v>45537</v>
      </c>
      <c r="B103" s="18" t="s">
        <v>87</v>
      </c>
      <c r="C103" s="75">
        <v>3</v>
      </c>
      <c r="D103" s="32" t="s">
        <v>211</v>
      </c>
      <c r="E103" s="75">
        <v>73</v>
      </c>
      <c r="F103" s="18" t="s">
        <v>63</v>
      </c>
      <c r="G103" s="6" t="s">
        <v>297</v>
      </c>
      <c r="H103" s="6" t="s">
        <v>213</v>
      </c>
      <c r="I103" s="49" t="s">
        <v>16</v>
      </c>
      <c r="J103" s="48" t="s">
        <v>17</v>
      </c>
      <c r="K103" s="6" t="s">
        <v>213</v>
      </c>
      <c r="L103" s="176">
        <f t="shared" si="1"/>
        <v>45537</v>
      </c>
      <c r="M103" s="179" t="s">
        <v>129</v>
      </c>
      <c r="N103" s="178" t="s">
        <v>214</v>
      </c>
      <c r="O103" s="165">
        <v>2024</v>
      </c>
    </row>
    <row r="104" spans="1:15">
      <c r="A104" s="74">
        <v>45537</v>
      </c>
      <c r="B104" s="18" t="s">
        <v>87</v>
      </c>
      <c r="C104" s="75">
        <v>3</v>
      </c>
      <c r="D104" s="32" t="s">
        <v>298</v>
      </c>
      <c r="E104" s="75">
        <v>37</v>
      </c>
      <c r="F104" s="18" t="s">
        <v>104</v>
      </c>
      <c r="G104" s="6" t="s">
        <v>299</v>
      </c>
      <c r="H104" s="6" t="s">
        <v>237</v>
      </c>
      <c r="I104" s="49" t="s">
        <v>16</v>
      </c>
      <c r="J104" s="48" t="s">
        <v>17</v>
      </c>
      <c r="K104" s="6" t="s">
        <v>237</v>
      </c>
      <c r="L104" s="176">
        <f t="shared" si="1"/>
        <v>45537</v>
      </c>
      <c r="M104" s="179" t="s">
        <v>129</v>
      </c>
      <c r="N104" s="178" t="s">
        <v>214</v>
      </c>
      <c r="O104" s="165">
        <v>2024</v>
      </c>
    </row>
    <row r="105" spans="1:15">
      <c r="A105" s="74">
        <v>45537</v>
      </c>
      <c r="B105" s="18" t="s">
        <v>87</v>
      </c>
      <c r="C105" s="75">
        <v>3</v>
      </c>
      <c r="D105" s="32" t="s">
        <v>300</v>
      </c>
      <c r="E105" s="75">
        <v>24</v>
      </c>
      <c r="F105" s="18" t="s">
        <v>301</v>
      </c>
      <c r="G105" s="6" t="s">
        <v>302</v>
      </c>
      <c r="H105" s="6" t="s">
        <v>303</v>
      </c>
      <c r="I105" s="49" t="s">
        <v>16</v>
      </c>
      <c r="J105" s="48" t="s">
        <v>17</v>
      </c>
      <c r="K105" s="6" t="s">
        <v>303</v>
      </c>
      <c r="L105" s="176">
        <f t="shared" si="1"/>
        <v>45537</v>
      </c>
      <c r="M105" s="179" t="s">
        <v>129</v>
      </c>
      <c r="N105" s="178" t="s">
        <v>214</v>
      </c>
      <c r="O105" s="165">
        <v>2024</v>
      </c>
    </row>
    <row r="106" ht="40.8" spans="1:15">
      <c r="A106" s="74">
        <v>45537</v>
      </c>
      <c r="B106" s="18" t="s">
        <v>87</v>
      </c>
      <c r="C106" s="75">
        <v>3</v>
      </c>
      <c r="D106" s="32" t="s">
        <v>304</v>
      </c>
      <c r="E106" s="75">
        <v>70</v>
      </c>
      <c r="F106" s="18" t="s">
        <v>49</v>
      </c>
      <c r="G106" s="6" t="s">
        <v>305</v>
      </c>
      <c r="H106" s="32" t="s">
        <v>306</v>
      </c>
      <c r="I106" s="49" t="s">
        <v>16</v>
      </c>
      <c r="J106" s="48" t="s">
        <v>17</v>
      </c>
      <c r="K106" s="6" t="s">
        <v>265</v>
      </c>
      <c r="L106" s="176">
        <f t="shared" si="1"/>
        <v>45537</v>
      </c>
      <c r="M106" s="179" t="s">
        <v>129</v>
      </c>
      <c r="N106" s="178" t="s">
        <v>214</v>
      </c>
      <c r="O106" s="165">
        <v>2024</v>
      </c>
    </row>
    <row r="107" ht="40.8" spans="1:15">
      <c r="A107" s="74">
        <v>45537</v>
      </c>
      <c r="B107" s="18" t="s">
        <v>87</v>
      </c>
      <c r="C107" s="75">
        <v>3</v>
      </c>
      <c r="D107" s="32" t="s">
        <v>304</v>
      </c>
      <c r="E107" s="75">
        <v>21</v>
      </c>
      <c r="F107" s="18" t="s">
        <v>53</v>
      </c>
      <c r="G107" s="6" t="s">
        <v>307</v>
      </c>
      <c r="H107" s="32" t="s">
        <v>306</v>
      </c>
      <c r="I107" s="49" t="s">
        <v>16</v>
      </c>
      <c r="J107" s="48" t="s">
        <v>17</v>
      </c>
      <c r="K107" s="6" t="s">
        <v>265</v>
      </c>
      <c r="L107" s="176">
        <f t="shared" si="1"/>
        <v>45537</v>
      </c>
      <c r="M107" s="179" t="s">
        <v>129</v>
      </c>
      <c r="N107" s="178" t="s">
        <v>214</v>
      </c>
      <c r="O107" s="165">
        <v>2024</v>
      </c>
    </row>
    <row r="108" spans="1:15">
      <c r="A108" s="74">
        <v>45537</v>
      </c>
      <c r="B108" s="18" t="s">
        <v>87</v>
      </c>
      <c r="C108" s="75">
        <v>3</v>
      </c>
      <c r="D108" s="32" t="s">
        <v>308</v>
      </c>
      <c r="E108" s="75">
        <v>7</v>
      </c>
      <c r="F108" s="18" t="s">
        <v>53</v>
      </c>
      <c r="G108" s="6" t="s">
        <v>307</v>
      </c>
      <c r="H108" s="32" t="s">
        <v>309</v>
      </c>
      <c r="I108" s="49" t="s">
        <v>16</v>
      </c>
      <c r="J108" s="48" t="s">
        <v>17</v>
      </c>
      <c r="K108" s="6" t="s">
        <v>310</v>
      </c>
      <c r="L108" s="176">
        <f t="shared" si="1"/>
        <v>45537</v>
      </c>
      <c r="M108" s="179" t="s">
        <v>129</v>
      </c>
      <c r="N108" s="178" t="s">
        <v>214</v>
      </c>
      <c r="O108" s="165">
        <v>2024</v>
      </c>
    </row>
    <row r="109" spans="1:15">
      <c r="A109" s="74">
        <v>45537</v>
      </c>
      <c r="B109" s="18" t="s">
        <v>87</v>
      </c>
      <c r="C109" s="75">
        <v>3</v>
      </c>
      <c r="D109" s="32" t="s">
        <v>269</v>
      </c>
      <c r="E109" s="75">
        <v>55</v>
      </c>
      <c r="F109" s="18" t="s">
        <v>246</v>
      </c>
      <c r="G109" s="6" t="s">
        <v>311</v>
      </c>
      <c r="H109" s="32" t="s">
        <v>271</v>
      </c>
      <c r="I109" s="49" t="s">
        <v>16</v>
      </c>
      <c r="J109" s="48" t="s">
        <v>17</v>
      </c>
      <c r="K109" s="6" t="s">
        <v>272</v>
      </c>
      <c r="L109" s="176">
        <f t="shared" si="1"/>
        <v>45537</v>
      </c>
      <c r="M109" s="179" t="s">
        <v>129</v>
      </c>
      <c r="N109" s="178" t="s">
        <v>214</v>
      </c>
      <c r="O109" s="165">
        <v>2024</v>
      </c>
    </row>
    <row r="110" spans="1:15">
      <c r="A110" s="74">
        <v>45537</v>
      </c>
      <c r="B110" s="18" t="s">
        <v>312</v>
      </c>
      <c r="C110" s="75">
        <v>4</v>
      </c>
      <c r="D110" s="32" t="s">
        <v>253</v>
      </c>
      <c r="E110" s="75">
        <v>40</v>
      </c>
      <c r="F110" s="18" t="s">
        <v>266</v>
      </c>
      <c r="G110" s="6" t="s">
        <v>313</v>
      </c>
      <c r="H110" s="32" t="s">
        <v>254</v>
      </c>
      <c r="I110" s="49" t="s">
        <v>115</v>
      </c>
      <c r="J110" s="48" t="s">
        <v>17</v>
      </c>
      <c r="K110" s="6" t="s">
        <v>256</v>
      </c>
      <c r="L110" s="176">
        <f t="shared" si="1"/>
        <v>45537</v>
      </c>
      <c r="M110" s="179" t="s">
        <v>129</v>
      </c>
      <c r="N110" s="178" t="s">
        <v>214</v>
      </c>
      <c r="O110" s="165">
        <v>2024</v>
      </c>
    </row>
    <row r="111" spans="1:15">
      <c r="A111" s="74">
        <v>45537</v>
      </c>
      <c r="B111" s="18" t="s">
        <v>312</v>
      </c>
      <c r="C111" s="75">
        <v>4</v>
      </c>
      <c r="D111" s="32" t="s">
        <v>314</v>
      </c>
      <c r="E111" s="75">
        <v>60</v>
      </c>
      <c r="F111" s="18" t="s">
        <v>315</v>
      </c>
      <c r="G111" s="6" t="s">
        <v>316</v>
      </c>
      <c r="H111" s="6" t="s">
        <v>317</v>
      </c>
      <c r="I111" s="49" t="s">
        <v>115</v>
      </c>
      <c r="J111" s="48" t="s">
        <v>17</v>
      </c>
      <c r="K111" s="6" t="s">
        <v>317</v>
      </c>
      <c r="L111" s="176">
        <f t="shared" si="1"/>
        <v>45537</v>
      </c>
      <c r="M111" s="179" t="s">
        <v>129</v>
      </c>
      <c r="N111" s="178" t="s">
        <v>214</v>
      </c>
      <c r="O111" s="165">
        <v>2024</v>
      </c>
    </row>
    <row r="112" spans="1:15">
      <c r="A112" s="74">
        <v>45537</v>
      </c>
      <c r="B112" s="18" t="s">
        <v>312</v>
      </c>
      <c r="C112" s="75">
        <v>4</v>
      </c>
      <c r="D112" s="32" t="s">
        <v>314</v>
      </c>
      <c r="E112" s="75">
        <v>50</v>
      </c>
      <c r="F112" s="18" t="s">
        <v>163</v>
      </c>
      <c r="G112" s="6" t="s">
        <v>318</v>
      </c>
      <c r="H112" s="6" t="s">
        <v>317</v>
      </c>
      <c r="I112" s="49" t="s">
        <v>115</v>
      </c>
      <c r="J112" s="48" t="s">
        <v>17</v>
      </c>
      <c r="K112" s="6" t="s">
        <v>317</v>
      </c>
      <c r="L112" s="176">
        <f t="shared" si="1"/>
        <v>45537</v>
      </c>
      <c r="M112" s="179" t="s">
        <v>129</v>
      </c>
      <c r="N112" s="178" t="s">
        <v>214</v>
      </c>
      <c r="O112" s="165">
        <v>2024</v>
      </c>
    </row>
    <row r="113" spans="1:15">
      <c r="A113" s="74">
        <v>45537</v>
      </c>
      <c r="B113" s="18" t="s">
        <v>312</v>
      </c>
      <c r="C113" s="75">
        <v>4</v>
      </c>
      <c r="D113" s="32" t="s">
        <v>314</v>
      </c>
      <c r="E113" s="75">
        <v>30</v>
      </c>
      <c r="F113" s="18" t="s">
        <v>24</v>
      </c>
      <c r="G113" s="6" t="s">
        <v>319</v>
      </c>
      <c r="H113" s="6" t="s">
        <v>317</v>
      </c>
      <c r="I113" s="49" t="s">
        <v>115</v>
      </c>
      <c r="J113" s="48" t="s">
        <v>17</v>
      </c>
      <c r="K113" s="6" t="s">
        <v>317</v>
      </c>
      <c r="L113" s="176">
        <f t="shared" si="1"/>
        <v>45537</v>
      </c>
      <c r="M113" s="179" t="s">
        <v>129</v>
      </c>
      <c r="N113" s="178" t="s">
        <v>214</v>
      </c>
      <c r="O113" s="165">
        <v>2024</v>
      </c>
    </row>
    <row r="114" spans="1:15">
      <c r="A114" s="78">
        <v>45537</v>
      </c>
      <c r="B114" s="20" t="s">
        <v>312</v>
      </c>
      <c r="C114" s="77">
        <v>4</v>
      </c>
      <c r="D114" s="35" t="s">
        <v>314</v>
      </c>
      <c r="E114" s="77">
        <v>50</v>
      </c>
      <c r="F114" s="20" t="s">
        <v>27</v>
      </c>
      <c r="G114" s="7" t="s">
        <v>320</v>
      </c>
      <c r="H114" s="7" t="s">
        <v>317</v>
      </c>
      <c r="I114" s="51" t="s">
        <v>115</v>
      </c>
      <c r="J114" s="50" t="s">
        <v>17</v>
      </c>
      <c r="K114" s="7" t="s">
        <v>317</v>
      </c>
      <c r="L114" s="176">
        <f t="shared" si="1"/>
        <v>45537</v>
      </c>
      <c r="M114" s="23" t="s">
        <v>129</v>
      </c>
      <c r="N114" s="178" t="s">
        <v>214</v>
      </c>
      <c r="O114" s="165">
        <v>2024</v>
      </c>
    </row>
    <row r="115" ht="40.8" spans="1:15">
      <c r="A115" s="79">
        <v>45538</v>
      </c>
      <c r="B115" s="21" t="s">
        <v>11</v>
      </c>
      <c r="C115" s="80">
        <v>2</v>
      </c>
      <c r="D115" s="39" t="s">
        <v>321</v>
      </c>
      <c r="E115" s="80">
        <v>55</v>
      </c>
      <c r="F115" s="21" t="s">
        <v>77</v>
      </c>
      <c r="G115" s="8" t="s">
        <v>322</v>
      </c>
      <c r="H115" s="8" t="s">
        <v>100</v>
      </c>
      <c r="I115" s="53" t="s">
        <v>16</v>
      </c>
      <c r="J115" s="55" t="s">
        <v>17</v>
      </c>
      <c r="K115" s="8" t="s">
        <v>100</v>
      </c>
      <c r="L115" s="176">
        <f t="shared" si="1"/>
        <v>45538</v>
      </c>
      <c r="M115" s="180" t="s">
        <v>129</v>
      </c>
      <c r="N115" s="178" t="s">
        <v>323</v>
      </c>
      <c r="O115" s="165">
        <v>2024</v>
      </c>
    </row>
    <row r="116" spans="1:15">
      <c r="A116" s="74">
        <v>45538</v>
      </c>
      <c r="B116" s="18" t="s">
        <v>11</v>
      </c>
      <c r="C116" s="75">
        <v>2</v>
      </c>
      <c r="D116" s="32" t="s">
        <v>324</v>
      </c>
      <c r="E116" s="75">
        <v>8</v>
      </c>
      <c r="F116" s="18" t="s">
        <v>77</v>
      </c>
      <c r="G116" s="6" t="s">
        <v>322</v>
      </c>
      <c r="H116" s="32" t="s">
        <v>325</v>
      </c>
      <c r="I116" s="49" t="s">
        <v>16</v>
      </c>
      <c r="J116" s="48" t="s">
        <v>17</v>
      </c>
      <c r="K116" s="6" t="s">
        <v>326</v>
      </c>
      <c r="L116" s="176">
        <f t="shared" si="1"/>
        <v>45538</v>
      </c>
      <c r="M116" s="179" t="s">
        <v>129</v>
      </c>
      <c r="N116" s="178" t="s">
        <v>323</v>
      </c>
      <c r="O116" s="165">
        <v>2024</v>
      </c>
    </row>
    <row r="117" ht="40.8" spans="1:15">
      <c r="A117" s="74">
        <v>45538</v>
      </c>
      <c r="B117" s="18" t="s">
        <v>11</v>
      </c>
      <c r="C117" s="75">
        <v>2</v>
      </c>
      <c r="D117" s="32" t="s">
        <v>327</v>
      </c>
      <c r="E117" s="75">
        <v>9</v>
      </c>
      <c r="F117" s="18" t="s">
        <v>77</v>
      </c>
      <c r="G117" s="6" t="s">
        <v>322</v>
      </c>
      <c r="H117" s="32" t="s">
        <v>83</v>
      </c>
      <c r="I117" s="49" t="s">
        <v>16</v>
      </c>
      <c r="J117" s="48" t="s">
        <v>17</v>
      </c>
      <c r="K117" s="6" t="s">
        <v>328</v>
      </c>
      <c r="L117" s="176">
        <f t="shared" si="1"/>
        <v>45538</v>
      </c>
      <c r="M117" s="179" t="s">
        <v>129</v>
      </c>
      <c r="N117" s="178" t="s">
        <v>323</v>
      </c>
      <c r="O117" s="165">
        <v>2024</v>
      </c>
    </row>
    <row r="118" ht="40.8" spans="1:15">
      <c r="A118" s="74">
        <v>45538</v>
      </c>
      <c r="B118" s="18" t="s">
        <v>31</v>
      </c>
      <c r="C118" s="75">
        <v>3</v>
      </c>
      <c r="D118" s="32" t="s">
        <v>329</v>
      </c>
      <c r="E118" s="75">
        <v>19</v>
      </c>
      <c r="F118" s="18" t="s">
        <v>49</v>
      </c>
      <c r="G118" s="6" t="s">
        <v>330</v>
      </c>
      <c r="H118" s="6" t="s">
        <v>331</v>
      </c>
      <c r="I118" s="49" t="s">
        <v>16</v>
      </c>
      <c r="J118" s="48" t="s">
        <v>17</v>
      </c>
      <c r="K118" s="6" t="s">
        <v>331</v>
      </c>
      <c r="L118" s="176">
        <f t="shared" si="1"/>
        <v>45538</v>
      </c>
      <c r="M118" s="179" t="s">
        <v>129</v>
      </c>
      <c r="N118" s="178" t="s">
        <v>323</v>
      </c>
      <c r="O118" s="165">
        <v>2024</v>
      </c>
    </row>
    <row r="119" spans="1:15">
      <c r="A119" s="74">
        <v>45538</v>
      </c>
      <c r="B119" s="18" t="s">
        <v>31</v>
      </c>
      <c r="C119" s="75">
        <v>3</v>
      </c>
      <c r="D119" s="32" t="s">
        <v>332</v>
      </c>
      <c r="E119" s="75">
        <v>42</v>
      </c>
      <c r="F119" s="18" t="s">
        <v>49</v>
      </c>
      <c r="G119" s="6" t="s">
        <v>330</v>
      </c>
      <c r="H119" s="32" t="s">
        <v>113</v>
      </c>
      <c r="I119" s="49" t="s">
        <v>16</v>
      </c>
      <c r="J119" s="48" t="s">
        <v>17</v>
      </c>
      <c r="K119" s="6" t="s">
        <v>333</v>
      </c>
      <c r="L119" s="176">
        <f t="shared" si="1"/>
        <v>45538</v>
      </c>
      <c r="M119" s="179" t="s">
        <v>129</v>
      </c>
      <c r="N119" s="178" t="s">
        <v>323</v>
      </c>
      <c r="O119" s="165">
        <v>2024</v>
      </c>
    </row>
    <row r="120" spans="1:15">
      <c r="A120" s="74">
        <v>45538</v>
      </c>
      <c r="B120" s="18" t="s">
        <v>31</v>
      </c>
      <c r="C120" s="75">
        <v>3</v>
      </c>
      <c r="D120" s="32" t="s">
        <v>334</v>
      </c>
      <c r="E120" s="75">
        <v>17</v>
      </c>
      <c r="F120" s="18" t="s">
        <v>13</v>
      </c>
      <c r="G120" s="6" t="s">
        <v>335</v>
      </c>
      <c r="H120" s="6" t="s">
        <v>336</v>
      </c>
      <c r="I120" s="49" t="s">
        <v>16</v>
      </c>
      <c r="J120" s="56" t="s">
        <v>17</v>
      </c>
      <c r="K120" s="6" t="s">
        <v>336</v>
      </c>
      <c r="L120" s="176">
        <f t="shared" si="1"/>
        <v>45538</v>
      </c>
      <c r="M120" s="179" t="s">
        <v>129</v>
      </c>
      <c r="N120" s="178" t="s">
        <v>323</v>
      </c>
      <c r="O120" s="165">
        <v>2024</v>
      </c>
    </row>
    <row r="121" spans="1:15">
      <c r="A121" s="74">
        <v>45538</v>
      </c>
      <c r="B121" s="18" t="s">
        <v>31</v>
      </c>
      <c r="C121" s="75">
        <v>3</v>
      </c>
      <c r="D121" s="32" t="s">
        <v>337</v>
      </c>
      <c r="E121" s="75">
        <v>1</v>
      </c>
      <c r="F121" s="18" t="s">
        <v>13</v>
      </c>
      <c r="G121" s="6" t="s">
        <v>335</v>
      </c>
      <c r="H121" s="6" t="s">
        <v>336</v>
      </c>
      <c r="I121" s="49" t="s">
        <v>16</v>
      </c>
      <c r="J121" s="60" t="s">
        <v>17</v>
      </c>
      <c r="K121" s="6" t="s">
        <v>336</v>
      </c>
      <c r="L121" s="176">
        <f t="shared" si="1"/>
        <v>45538</v>
      </c>
      <c r="M121" s="179" t="s">
        <v>129</v>
      </c>
      <c r="N121" s="178" t="s">
        <v>323</v>
      </c>
      <c r="O121" s="165">
        <v>2024</v>
      </c>
    </row>
    <row r="122" spans="1:15">
      <c r="A122" s="74">
        <v>45538</v>
      </c>
      <c r="B122" s="18" t="s">
        <v>31</v>
      </c>
      <c r="C122" s="75">
        <v>3</v>
      </c>
      <c r="D122" s="32" t="s">
        <v>338</v>
      </c>
      <c r="E122" s="75">
        <v>52</v>
      </c>
      <c r="F122" s="18" t="s">
        <v>13</v>
      </c>
      <c r="G122" s="6" t="s">
        <v>335</v>
      </c>
      <c r="H122" s="6" t="s">
        <v>339</v>
      </c>
      <c r="I122" s="49" t="s">
        <v>16</v>
      </c>
      <c r="J122" s="48" t="s">
        <v>17</v>
      </c>
      <c r="K122" s="6" t="s">
        <v>339</v>
      </c>
      <c r="L122" s="176">
        <f t="shared" si="1"/>
        <v>45538</v>
      </c>
      <c r="M122" s="179" t="s">
        <v>129</v>
      </c>
      <c r="N122" s="178" t="s">
        <v>323</v>
      </c>
      <c r="O122" s="165">
        <v>2024</v>
      </c>
    </row>
    <row r="123" spans="1:15">
      <c r="A123" s="74">
        <v>45538</v>
      </c>
      <c r="B123" s="18" t="s">
        <v>31</v>
      </c>
      <c r="C123" s="75">
        <v>3</v>
      </c>
      <c r="D123" s="32" t="s">
        <v>340</v>
      </c>
      <c r="E123" s="75">
        <v>46</v>
      </c>
      <c r="F123" s="18" t="s">
        <v>53</v>
      </c>
      <c r="G123" s="6" t="s">
        <v>341</v>
      </c>
      <c r="H123" s="6" t="s">
        <v>237</v>
      </c>
      <c r="I123" s="49" t="s">
        <v>16</v>
      </c>
      <c r="J123" s="48" t="s">
        <v>17</v>
      </c>
      <c r="K123" s="6" t="s">
        <v>237</v>
      </c>
      <c r="L123" s="176">
        <f t="shared" si="1"/>
        <v>45538</v>
      </c>
      <c r="M123" s="179" t="s">
        <v>129</v>
      </c>
      <c r="N123" s="178" t="s">
        <v>323</v>
      </c>
      <c r="O123" s="165">
        <v>2024</v>
      </c>
    </row>
    <row r="124" spans="1:15">
      <c r="A124" s="74">
        <v>45538</v>
      </c>
      <c r="B124" s="18" t="s">
        <v>31</v>
      </c>
      <c r="C124" s="75">
        <v>3</v>
      </c>
      <c r="D124" s="32" t="s">
        <v>342</v>
      </c>
      <c r="E124" s="75">
        <v>21</v>
      </c>
      <c r="F124" s="18" t="s">
        <v>24</v>
      </c>
      <c r="G124" s="6" t="s">
        <v>195</v>
      </c>
      <c r="H124" s="6" t="s">
        <v>196</v>
      </c>
      <c r="I124" s="49" t="s">
        <v>115</v>
      </c>
      <c r="J124" s="48" t="s">
        <v>17</v>
      </c>
      <c r="K124" s="6" t="s">
        <v>196</v>
      </c>
      <c r="L124" s="176">
        <f t="shared" si="1"/>
        <v>45538</v>
      </c>
      <c r="M124" s="179" t="s">
        <v>129</v>
      </c>
      <c r="N124" s="178" t="s">
        <v>323</v>
      </c>
      <c r="O124" s="165">
        <v>2024</v>
      </c>
    </row>
    <row r="125" ht="40.8" spans="1:15">
      <c r="A125" s="74">
        <v>45538</v>
      </c>
      <c r="B125" s="18" t="s">
        <v>31</v>
      </c>
      <c r="C125" s="75">
        <v>3</v>
      </c>
      <c r="D125" s="32" t="s">
        <v>343</v>
      </c>
      <c r="E125" s="75">
        <v>44</v>
      </c>
      <c r="F125" s="18" t="s">
        <v>63</v>
      </c>
      <c r="G125" s="6" t="s">
        <v>344</v>
      </c>
      <c r="H125" s="32" t="s">
        <v>345</v>
      </c>
      <c r="I125" s="49" t="s">
        <v>16</v>
      </c>
      <c r="J125" s="48" t="s">
        <v>17</v>
      </c>
      <c r="K125" s="6" t="s">
        <v>346</v>
      </c>
      <c r="L125" s="176">
        <f t="shared" si="1"/>
        <v>45538</v>
      </c>
      <c r="M125" s="179" t="s">
        <v>129</v>
      </c>
      <c r="N125" s="178" t="s">
        <v>323</v>
      </c>
      <c r="O125" s="165">
        <v>2024</v>
      </c>
    </row>
    <row r="126" spans="1:15">
      <c r="A126" s="74">
        <v>45538</v>
      </c>
      <c r="B126" s="18" t="s">
        <v>31</v>
      </c>
      <c r="C126" s="75">
        <v>3</v>
      </c>
      <c r="D126" s="32" t="s">
        <v>347</v>
      </c>
      <c r="E126" s="75">
        <v>114</v>
      </c>
      <c r="F126" s="18" t="s">
        <v>73</v>
      </c>
      <c r="G126" s="6" t="s">
        <v>348</v>
      </c>
      <c r="H126" s="6" t="s">
        <v>349</v>
      </c>
      <c r="I126" s="49" t="s">
        <v>16</v>
      </c>
      <c r="J126" s="48" t="s">
        <v>36</v>
      </c>
      <c r="K126" s="6" t="s">
        <v>349</v>
      </c>
      <c r="L126" s="176">
        <f t="shared" si="1"/>
        <v>45538</v>
      </c>
      <c r="M126" s="179" t="s">
        <v>129</v>
      </c>
      <c r="N126" s="178" t="s">
        <v>323</v>
      </c>
      <c r="O126" s="165">
        <v>2024</v>
      </c>
    </row>
    <row r="127" spans="1:15">
      <c r="A127" s="74">
        <v>45538</v>
      </c>
      <c r="B127" s="18" t="s">
        <v>31</v>
      </c>
      <c r="C127" s="75">
        <v>3</v>
      </c>
      <c r="D127" s="32" t="s">
        <v>350</v>
      </c>
      <c r="E127" s="75">
        <v>37</v>
      </c>
      <c r="F127" s="18" t="s">
        <v>73</v>
      </c>
      <c r="G127" s="6" t="s">
        <v>348</v>
      </c>
      <c r="H127" s="6" t="s">
        <v>349</v>
      </c>
      <c r="I127" s="49" t="s">
        <v>16</v>
      </c>
      <c r="J127" s="48" t="s">
        <v>36</v>
      </c>
      <c r="K127" s="6" t="s">
        <v>349</v>
      </c>
      <c r="L127" s="176">
        <f t="shared" si="1"/>
        <v>45538</v>
      </c>
      <c r="M127" s="179" t="s">
        <v>129</v>
      </c>
      <c r="N127" s="178" t="s">
        <v>323</v>
      </c>
      <c r="O127" s="165">
        <v>2024</v>
      </c>
    </row>
    <row r="128" spans="1:15">
      <c r="A128" s="74">
        <v>45538</v>
      </c>
      <c r="B128" s="18" t="s">
        <v>31</v>
      </c>
      <c r="C128" s="75">
        <v>3</v>
      </c>
      <c r="D128" s="32" t="s">
        <v>351</v>
      </c>
      <c r="E128" s="75">
        <v>49</v>
      </c>
      <c r="F128" s="18" t="s">
        <v>315</v>
      </c>
      <c r="G128" s="6" t="s">
        <v>69</v>
      </c>
      <c r="H128" s="6" t="s">
        <v>352</v>
      </c>
      <c r="I128" s="49" t="s">
        <v>16</v>
      </c>
      <c r="J128" s="48" t="s">
        <v>17</v>
      </c>
      <c r="K128" s="6" t="s">
        <v>352</v>
      </c>
      <c r="L128" s="176">
        <f t="shared" si="1"/>
        <v>45538</v>
      </c>
      <c r="M128" s="179" t="s">
        <v>129</v>
      </c>
      <c r="N128" s="178" t="s">
        <v>323</v>
      </c>
      <c r="O128" s="165">
        <v>2024</v>
      </c>
    </row>
    <row r="129" spans="1:15">
      <c r="A129" s="74">
        <v>45538</v>
      </c>
      <c r="B129" s="18" t="s">
        <v>31</v>
      </c>
      <c r="C129" s="75">
        <v>3</v>
      </c>
      <c r="D129" s="32" t="s">
        <v>353</v>
      </c>
      <c r="E129" s="75">
        <v>115</v>
      </c>
      <c r="F129" s="18" t="s">
        <v>33</v>
      </c>
      <c r="G129" s="6" t="s">
        <v>354</v>
      </c>
      <c r="H129" s="6" t="s">
        <v>317</v>
      </c>
      <c r="I129" s="49" t="s">
        <v>16</v>
      </c>
      <c r="J129" s="48" t="s">
        <v>97</v>
      </c>
      <c r="K129" s="6" t="s">
        <v>317</v>
      </c>
      <c r="L129" s="176">
        <f t="shared" si="1"/>
        <v>45538</v>
      </c>
      <c r="M129" s="179" t="s">
        <v>129</v>
      </c>
      <c r="N129" s="178" t="s">
        <v>323</v>
      </c>
      <c r="O129" s="165">
        <v>2024</v>
      </c>
    </row>
    <row r="130" ht="81.6" spans="1:15">
      <c r="A130" s="74">
        <v>45538</v>
      </c>
      <c r="B130" s="20" t="s">
        <v>31</v>
      </c>
      <c r="C130" s="77">
        <v>3</v>
      </c>
      <c r="D130" s="35" t="s">
        <v>355</v>
      </c>
      <c r="E130" s="77">
        <v>49</v>
      </c>
      <c r="F130" s="20" t="s">
        <v>33</v>
      </c>
      <c r="G130" s="7" t="s">
        <v>354</v>
      </c>
      <c r="H130" s="35" t="s">
        <v>271</v>
      </c>
      <c r="I130" s="51" t="s">
        <v>16</v>
      </c>
      <c r="J130" s="50" t="s">
        <v>356</v>
      </c>
      <c r="K130" s="7" t="s">
        <v>357</v>
      </c>
      <c r="L130" s="176">
        <f t="shared" si="1"/>
        <v>45538</v>
      </c>
      <c r="M130" s="179" t="s">
        <v>129</v>
      </c>
      <c r="N130" s="178" t="s">
        <v>323</v>
      </c>
      <c r="O130" s="165">
        <v>2024</v>
      </c>
    </row>
    <row r="131" spans="1:15">
      <c r="A131" s="74">
        <v>45538</v>
      </c>
      <c r="B131" s="21" t="s">
        <v>80</v>
      </c>
      <c r="C131" s="80">
        <v>2</v>
      </c>
      <c r="D131" s="39" t="s">
        <v>338</v>
      </c>
      <c r="E131" s="80">
        <v>52</v>
      </c>
      <c r="F131" s="21" t="s">
        <v>163</v>
      </c>
      <c r="G131" s="8" t="s">
        <v>335</v>
      </c>
      <c r="H131" s="8" t="s">
        <v>339</v>
      </c>
      <c r="I131" s="53" t="s">
        <v>115</v>
      </c>
      <c r="J131" s="55" t="s">
        <v>17</v>
      </c>
      <c r="K131" s="8" t="s">
        <v>339</v>
      </c>
      <c r="L131" s="176">
        <f t="shared" si="1"/>
        <v>45538</v>
      </c>
      <c r="M131" s="179" t="s">
        <v>129</v>
      </c>
      <c r="N131" s="178" t="s">
        <v>323</v>
      </c>
      <c r="O131" s="165">
        <v>2024</v>
      </c>
    </row>
    <row r="132" ht="81.6" spans="1:15">
      <c r="A132" s="74">
        <v>45538</v>
      </c>
      <c r="B132" s="18" t="s">
        <v>80</v>
      </c>
      <c r="C132" s="75">
        <v>2</v>
      </c>
      <c r="D132" s="32" t="s">
        <v>358</v>
      </c>
      <c r="E132" s="75">
        <v>173</v>
      </c>
      <c r="F132" s="18" t="s">
        <v>58</v>
      </c>
      <c r="G132" s="6" t="s">
        <v>359</v>
      </c>
      <c r="H132" s="32" t="s">
        <v>360</v>
      </c>
      <c r="I132" s="49" t="s">
        <v>16</v>
      </c>
      <c r="J132" s="48" t="s">
        <v>173</v>
      </c>
      <c r="K132" s="6" t="s">
        <v>361</v>
      </c>
      <c r="L132" s="176">
        <f t="shared" si="1"/>
        <v>45538</v>
      </c>
      <c r="M132" s="179" t="s">
        <v>129</v>
      </c>
      <c r="N132" s="178" t="s">
        <v>323</v>
      </c>
      <c r="O132" s="165">
        <v>2024</v>
      </c>
    </row>
    <row r="133" ht="40.8" spans="1:15">
      <c r="A133" s="74">
        <v>45538</v>
      </c>
      <c r="B133" s="18" t="s">
        <v>80</v>
      </c>
      <c r="C133" s="75">
        <v>2</v>
      </c>
      <c r="D133" s="32" t="s">
        <v>362</v>
      </c>
      <c r="E133" s="75">
        <v>22</v>
      </c>
      <c r="F133" s="18" t="s">
        <v>58</v>
      </c>
      <c r="G133" s="6" t="s">
        <v>359</v>
      </c>
      <c r="H133" s="32" t="s">
        <v>21</v>
      </c>
      <c r="I133" s="49" t="s">
        <v>16</v>
      </c>
      <c r="J133" s="48" t="s">
        <v>363</v>
      </c>
      <c r="K133" s="6" t="s">
        <v>364</v>
      </c>
      <c r="L133" s="176">
        <f t="shared" ref="L133:L196" si="2">DATE(2024,M133,N133)</f>
        <v>45538</v>
      </c>
      <c r="M133" s="179" t="s">
        <v>129</v>
      </c>
      <c r="N133" s="178" t="s">
        <v>323</v>
      </c>
      <c r="O133" s="165">
        <v>2024</v>
      </c>
    </row>
    <row r="134" spans="1:15">
      <c r="A134" s="74">
        <v>45538</v>
      </c>
      <c r="B134" s="18" t="s">
        <v>87</v>
      </c>
      <c r="C134" s="75">
        <v>3</v>
      </c>
      <c r="D134" s="32" t="s">
        <v>365</v>
      </c>
      <c r="E134" s="75">
        <v>83</v>
      </c>
      <c r="F134" s="18" t="s">
        <v>77</v>
      </c>
      <c r="G134" s="6" t="s">
        <v>366</v>
      </c>
      <c r="H134" s="6" t="s">
        <v>336</v>
      </c>
      <c r="I134" s="49" t="s">
        <v>16</v>
      </c>
      <c r="J134" s="48" t="s">
        <v>17</v>
      </c>
      <c r="K134" s="6" t="s">
        <v>336</v>
      </c>
      <c r="L134" s="176">
        <f t="shared" si="2"/>
        <v>45538</v>
      </c>
      <c r="M134" s="179" t="s">
        <v>129</v>
      </c>
      <c r="N134" s="178" t="s">
        <v>323</v>
      </c>
      <c r="O134" s="165">
        <v>2024</v>
      </c>
    </row>
    <row r="135" spans="1:15">
      <c r="A135" s="74">
        <v>45538</v>
      </c>
      <c r="B135" s="18" t="s">
        <v>87</v>
      </c>
      <c r="C135" s="75">
        <v>3</v>
      </c>
      <c r="D135" s="32" t="s">
        <v>367</v>
      </c>
      <c r="E135" s="75">
        <v>2</v>
      </c>
      <c r="F135" s="18" t="s">
        <v>77</v>
      </c>
      <c r="G135" s="6" t="s">
        <v>366</v>
      </c>
      <c r="H135" s="32" t="s">
        <v>368</v>
      </c>
      <c r="I135" s="49" t="s">
        <v>16</v>
      </c>
      <c r="J135" s="48" t="s">
        <v>17</v>
      </c>
      <c r="K135" s="6" t="s">
        <v>369</v>
      </c>
      <c r="L135" s="176">
        <f t="shared" si="2"/>
        <v>45538</v>
      </c>
      <c r="M135" s="179" t="s">
        <v>129</v>
      </c>
      <c r="N135" s="178" t="s">
        <v>323</v>
      </c>
      <c r="O135" s="165">
        <v>2024</v>
      </c>
    </row>
    <row r="136" spans="1:15">
      <c r="A136" s="74">
        <v>45538</v>
      </c>
      <c r="B136" s="18" t="s">
        <v>87</v>
      </c>
      <c r="C136" s="75">
        <v>3</v>
      </c>
      <c r="D136" s="32" t="s">
        <v>370</v>
      </c>
      <c r="E136" s="75">
        <v>5</v>
      </c>
      <c r="F136" s="18" t="s">
        <v>33</v>
      </c>
      <c r="G136" s="6" t="s">
        <v>371</v>
      </c>
      <c r="H136" s="6" t="s">
        <v>213</v>
      </c>
      <c r="I136" s="49" t="s">
        <v>16</v>
      </c>
      <c r="J136" s="56" t="s">
        <v>173</v>
      </c>
      <c r="K136" s="6" t="s">
        <v>213</v>
      </c>
      <c r="L136" s="176">
        <f t="shared" si="2"/>
        <v>45538</v>
      </c>
      <c r="M136" s="179" t="s">
        <v>129</v>
      </c>
      <c r="N136" s="178" t="s">
        <v>323</v>
      </c>
      <c r="O136" s="165">
        <v>2024</v>
      </c>
    </row>
    <row r="137" spans="1:15">
      <c r="A137" s="74">
        <v>45538</v>
      </c>
      <c r="B137" s="18" t="s">
        <v>87</v>
      </c>
      <c r="C137" s="75">
        <v>3</v>
      </c>
      <c r="D137" s="32" t="s">
        <v>372</v>
      </c>
      <c r="E137" s="75">
        <v>121</v>
      </c>
      <c r="F137" s="18" t="s">
        <v>33</v>
      </c>
      <c r="G137" s="6" t="s">
        <v>371</v>
      </c>
      <c r="H137" s="6" t="s">
        <v>213</v>
      </c>
      <c r="I137" s="49" t="s">
        <v>16</v>
      </c>
      <c r="J137" s="56" t="s">
        <v>173</v>
      </c>
      <c r="K137" s="6" t="s">
        <v>213</v>
      </c>
      <c r="L137" s="176">
        <f t="shared" si="2"/>
        <v>45538</v>
      </c>
      <c r="M137" s="179" t="s">
        <v>129</v>
      </c>
      <c r="N137" s="178" t="s">
        <v>323</v>
      </c>
      <c r="O137" s="165">
        <v>2024</v>
      </c>
    </row>
    <row r="138" spans="1:15">
      <c r="A138" s="74">
        <v>45538</v>
      </c>
      <c r="B138" s="18" t="s">
        <v>87</v>
      </c>
      <c r="C138" s="75">
        <v>3</v>
      </c>
      <c r="D138" s="32" t="s">
        <v>373</v>
      </c>
      <c r="E138" s="75">
        <v>146</v>
      </c>
      <c r="F138" s="18" t="s">
        <v>27</v>
      </c>
      <c r="G138" s="6" t="s">
        <v>236</v>
      </c>
      <c r="H138" s="6" t="s">
        <v>237</v>
      </c>
      <c r="I138" s="49" t="s">
        <v>16</v>
      </c>
      <c r="J138" s="48" t="s">
        <v>17</v>
      </c>
      <c r="K138" s="6" t="s">
        <v>237</v>
      </c>
      <c r="L138" s="176">
        <f t="shared" si="2"/>
        <v>45538</v>
      </c>
      <c r="M138" s="179" t="s">
        <v>129</v>
      </c>
      <c r="N138" s="178" t="s">
        <v>323</v>
      </c>
      <c r="O138" s="165">
        <v>2024</v>
      </c>
    </row>
    <row r="139" spans="1:15">
      <c r="A139" s="74">
        <v>45538</v>
      </c>
      <c r="B139" s="18" t="s">
        <v>87</v>
      </c>
      <c r="C139" s="75">
        <v>3</v>
      </c>
      <c r="D139" s="32" t="s">
        <v>374</v>
      </c>
      <c r="E139" s="75">
        <v>12</v>
      </c>
      <c r="F139" s="18" t="s">
        <v>13</v>
      </c>
      <c r="G139" s="6" t="s">
        <v>375</v>
      </c>
      <c r="H139" s="6" t="s">
        <v>376</v>
      </c>
      <c r="I139" s="49" t="s">
        <v>16</v>
      </c>
      <c r="J139" s="48" t="s">
        <v>17</v>
      </c>
      <c r="K139" s="6" t="s">
        <v>376</v>
      </c>
      <c r="L139" s="176">
        <f t="shared" si="2"/>
        <v>45538</v>
      </c>
      <c r="M139" s="179" t="s">
        <v>129</v>
      </c>
      <c r="N139" s="178" t="s">
        <v>323</v>
      </c>
      <c r="O139" s="165">
        <v>2024</v>
      </c>
    </row>
    <row r="140" spans="1:15">
      <c r="A140" s="74">
        <v>45538</v>
      </c>
      <c r="B140" s="18" t="s">
        <v>87</v>
      </c>
      <c r="C140" s="75">
        <v>3</v>
      </c>
      <c r="D140" s="32" t="s">
        <v>377</v>
      </c>
      <c r="E140" s="75">
        <v>114</v>
      </c>
      <c r="F140" s="18" t="s">
        <v>73</v>
      </c>
      <c r="G140" s="6" t="s">
        <v>378</v>
      </c>
      <c r="H140" s="6" t="s">
        <v>349</v>
      </c>
      <c r="I140" s="49" t="s">
        <v>16</v>
      </c>
      <c r="J140" s="56" t="s">
        <v>97</v>
      </c>
      <c r="K140" s="6" t="s">
        <v>349</v>
      </c>
      <c r="L140" s="176">
        <f t="shared" si="2"/>
        <v>45538</v>
      </c>
      <c r="M140" s="179" t="s">
        <v>129</v>
      </c>
      <c r="N140" s="178" t="s">
        <v>323</v>
      </c>
      <c r="O140" s="165">
        <v>2024</v>
      </c>
    </row>
    <row r="141" spans="1:15">
      <c r="A141" s="74">
        <v>45538</v>
      </c>
      <c r="B141" s="18" t="s">
        <v>87</v>
      </c>
      <c r="C141" s="75">
        <v>3</v>
      </c>
      <c r="D141" s="32" t="s">
        <v>379</v>
      </c>
      <c r="E141" s="75">
        <v>3</v>
      </c>
      <c r="F141" s="18" t="s">
        <v>73</v>
      </c>
      <c r="G141" s="6" t="s">
        <v>378</v>
      </c>
      <c r="H141" s="6" t="s">
        <v>349</v>
      </c>
      <c r="I141" s="49" t="s">
        <v>16</v>
      </c>
      <c r="J141" s="56" t="s">
        <v>97</v>
      </c>
      <c r="K141" s="6" t="s">
        <v>349</v>
      </c>
      <c r="L141" s="176">
        <f t="shared" si="2"/>
        <v>45538</v>
      </c>
      <c r="M141" s="179" t="s">
        <v>129</v>
      </c>
      <c r="N141" s="178" t="s">
        <v>323</v>
      </c>
      <c r="O141" s="165">
        <v>2024</v>
      </c>
    </row>
    <row r="142" spans="1:15">
      <c r="A142" s="74">
        <v>45538</v>
      </c>
      <c r="B142" s="18" t="s">
        <v>87</v>
      </c>
      <c r="C142" s="75">
        <v>3</v>
      </c>
      <c r="D142" s="32" t="s">
        <v>380</v>
      </c>
      <c r="E142" s="75">
        <v>17</v>
      </c>
      <c r="F142" s="18" t="s">
        <v>73</v>
      </c>
      <c r="G142" s="6" t="s">
        <v>378</v>
      </c>
      <c r="H142" s="6" t="s">
        <v>381</v>
      </c>
      <c r="I142" s="49" t="s">
        <v>16</v>
      </c>
      <c r="J142" s="61" t="s">
        <v>382</v>
      </c>
      <c r="K142" s="6" t="s">
        <v>381</v>
      </c>
      <c r="L142" s="176">
        <f t="shared" si="2"/>
        <v>45538</v>
      </c>
      <c r="M142" s="179" t="s">
        <v>129</v>
      </c>
      <c r="N142" s="178" t="s">
        <v>323</v>
      </c>
      <c r="O142" s="165">
        <v>2024</v>
      </c>
    </row>
    <row r="143" spans="1:15">
      <c r="A143" s="74">
        <v>45538</v>
      </c>
      <c r="B143" s="18" t="s">
        <v>87</v>
      </c>
      <c r="C143" s="75">
        <v>3</v>
      </c>
      <c r="D143" s="32" t="s">
        <v>383</v>
      </c>
      <c r="E143" s="75">
        <v>7</v>
      </c>
      <c r="F143" s="18" t="s">
        <v>73</v>
      </c>
      <c r="G143" s="6" t="s">
        <v>378</v>
      </c>
      <c r="H143" s="6" t="s">
        <v>381</v>
      </c>
      <c r="I143" s="49" t="s">
        <v>16</v>
      </c>
      <c r="J143" s="61" t="s">
        <v>382</v>
      </c>
      <c r="K143" s="6" t="s">
        <v>381</v>
      </c>
      <c r="L143" s="176">
        <f t="shared" si="2"/>
        <v>45538</v>
      </c>
      <c r="M143" s="179" t="s">
        <v>129</v>
      </c>
      <c r="N143" s="178" t="s">
        <v>323</v>
      </c>
      <c r="O143" s="165">
        <v>2024</v>
      </c>
    </row>
    <row r="144" spans="1:15">
      <c r="A144" s="78">
        <v>45538</v>
      </c>
      <c r="B144" s="20" t="s">
        <v>312</v>
      </c>
      <c r="C144" s="77">
        <v>4</v>
      </c>
      <c r="D144" s="35" t="s">
        <v>351</v>
      </c>
      <c r="E144" s="77">
        <v>49</v>
      </c>
      <c r="F144" s="20" t="s">
        <v>315</v>
      </c>
      <c r="G144" s="7" t="s">
        <v>69</v>
      </c>
      <c r="H144" s="7" t="s">
        <v>352</v>
      </c>
      <c r="I144" s="51" t="s">
        <v>115</v>
      </c>
      <c r="J144" s="50" t="s">
        <v>17</v>
      </c>
      <c r="K144" s="7" t="s">
        <v>352</v>
      </c>
      <c r="L144" s="176">
        <f t="shared" si="2"/>
        <v>45538</v>
      </c>
      <c r="M144" s="23" t="s">
        <v>129</v>
      </c>
      <c r="N144" s="178" t="s">
        <v>323</v>
      </c>
      <c r="O144" s="165">
        <v>2024</v>
      </c>
    </row>
    <row r="145" spans="1:15">
      <c r="A145" s="79">
        <v>45539</v>
      </c>
      <c r="B145" s="21" t="s">
        <v>11</v>
      </c>
      <c r="C145" s="80">
        <v>2</v>
      </c>
      <c r="D145" s="39" t="s">
        <v>384</v>
      </c>
      <c r="E145" s="80">
        <v>20</v>
      </c>
      <c r="F145" s="21" t="s">
        <v>49</v>
      </c>
      <c r="G145" s="8" t="s">
        <v>385</v>
      </c>
      <c r="H145" s="8" t="s">
        <v>386</v>
      </c>
      <c r="I145" s="53" t="s">
        <v>16</v>
      </c>
      <c r="J145" s="55" t="s">
        <v>17</v>
      </c>
      <c r="K145" s="8" t="s">
        <v>386</v>
      </c>
      <c r="L145" s="176">
        <f t="shared" si="2"/>
        <v>45539</v>
      </c>
      <c r="M145" s="180" t="s">
        <v>129</v>
      </c>
      <c r="N145" s="178" t="s">
        <v>387</v>
      </c>
      <c r="O145" s="165">
        <v>2024</v>
      </c>
    </row>
    <row r="146" spans="1:15">
      <c r="A146" s="74">
        <v>45539</v>
      </c>
      <c r="B146" s="18" t="s">
        <v>31</v>
      </c>
      <c r="C146" s="75">
        <v>3</v>
      </c>
      <c r="D146" s="32" t="s">
        <v>388</v>
      </c>
      <c r="E146" s="75">
        <v>36</v>
      </c>
      <c r="F146" s="18" t="s">
        <v>13</v>
      </c>
      <c r="G146" s="6" t="s">
        <v>389</v>
      </c>
      <c r="H146" s="6" t="s">
        <v>390</v>
      </c>
      <c r="I146" s="49" t="s">
        <v>16</v>
      </c>
      <c r="J146" s="48" t="s">
        <v>17</v>
      </c>
      <c r="K146" s="6" t="s">
        <v>390</v>
      </c>
      <c r="L146" s="176">
        <f t="shared" si="2"/>
        <v>45539</v>
      </c>
      <c r="M146" s="179" t="s">
        <v>129</v>
      </c>
      <c r="N146" s="178" t="s">
        <v>387</v>
      </c>
      <c r="O146" s="165">
        <v>2024</v>
      </c>
    </row>
    <row r="147" spans="1:15">
      <c r="A147" s="74">
        <v>45539</v>
      </c>
      <c r="B147" s="18" t="s">
        <v>31</v>
      </c>
      <c r="C147" s="75">
        <v>3</v>
      </c>
      <c r="D147" s="32" t="s">
        <v>391</v>
      </c>
      <c r="E147" s="75">
        <v>27</v>
      </c>
      <c r="F147" s="18" t="s">
        <v>13</v>
      </c>
      <c r="G147" s="6" t="s">
        <v>389</v>
      </c>
      <c r="H147" s="6" t="s">
        <v>390</v>
      </c>
      <c r="I147" s="49" t="s">
        <v>16</v>
      </c>
      <c r="J147" s="48" t="s">
        <v>17</v>
      </c>
      <c r="K147" s="6" t="s">
        <v>390</v>
      </c>
      <c r="L147" s="176">
        <f t="shared" si="2"/>
        <v>45539</v>
      </c>
      <c r="M147" s="179" t="s">
        <v>129</v>
      </c>
      <c r="N147" s="178" t="s">
        <v>387</v>
      </c>
      <c r="O147" s="165">
        <v>2024</v>
      </c>
    </row>
    <row r="148" ht="40.8" spans="1:15">
      <c r="A148" s="74">
        <v>45539</v>
      </c>
      <c r="B148" s="18" t="s">
        <v>31</v>
      </c>
      <c r="C148" s="75">
        <v>3</v>
      </c>
      <c r="D148" s="32" t="s">
        <v>392</v>
      </c>
      <c r="E148" s="75">
        <v>414</v>
      </c>
      <c r="F148" s="18" t="s">
        <v>44</v>
      </c>
      <c r="G148" s="6" t="s">
        <v>393</v>
      </c>
      <c r="H148" s="32" t="s">
        <v>394</v>
      </c>
      <c r="I148" s="49" t="s">
        <v>16</v>
      </c>
      <c r="J148" s="48" t="s">
        <v>17</v>
      </c>
      <c r="K148" s="6" t="s">
        <v>395</v>
      </c>
      <c r="L148" s="176">
        <f t="shared" si="2"/>
        <v>45539</v>
      </c>
      <c r="M148" s="179" t="s">
        <v>129</v>
      </c>
      <c r="N148" s="178" t="s">
        <v>387</v>
      </c>
      <c r="O148" s="165">
        <v>2024</v>
      </c>
    </row>
    <row r="149" ht="40.8" spans="1:15">
      <c r="A149" s="74">
        <v>45539</v>
      </c>
      <c r="B149" s="18" t="s">
        <v>31</v>
      </c>
      <c r="C149" s="75">
        <v>3</v>
      </c>
      <c r="D149" s="32" t="s">
        <v>396</v>
      </c>
      <c r="E149" s="75">
        <v>217</v>
      </c>
      <c r="F149" s="18" t="s">
        <v>39</v>
      </c>
      <c r="G149" s="6" t="s">
        <v>397</v>
      </c>
      <c r="H149" s="32" t="s">
        <v>394</v>
      </c>
      <c r="I149" s="49" t="s">
        <v>16</v>
      </c>
      <c r="J149" s="48" t="s">
        <v>17</v>
      </c>
      <c r="K149" s="6" t="s">
        <v>395</v>
      </c>
      <c r="L149" s="176">
        <f t="shared" si="2"/>
        <v>45539</v>
      </c>
      <c r="M149" s="179" t="s">
        <v>129</v>
      </c>
      <c r="N149" s="178" t="s">
        <v>387</v>
      </c>
      <c r="O149" s="165">
        <v>2024</v>
      </c>
    </row>
    <row r="150" spans="1:15">
      <c r="A150" s="74">
        <v>45539</v>
      </c>
      <c r="B150" s="18" t="s">
        <v>31</v>
      </c>
      <c r="C150" s="75">
        <v>3</v>
      </c>
      <c r="D150" s="32" t="s">
        <v>398</v>
      </c>
      <c r="E150" s="75">
        <v>11</v>
      </c>
      <c r="F150" s="18" t="s">
        <v>24</v>
      </c>
      <c r="G150" s="6" t="s">
        <v>195</v>
      </c>
      <c r="H150" s="6" t="s">
        <v>26</v>
      </c>
      <c r="I150" s="49" t="s">
        <v>16</v>
      </c>
      <c r="J150" s="48" t="s">
        <v>17</v>
      </c>
      <c r="K150" s="6" t="s">
        <v>26</v>
      </c>
      <c r="L150" s="176">
        <f t="shared" si="2"/>
        <v>45539</v>
      </c>
      <c r="M150" s="179" t="s">
        <v>129</v>
      </c>
      <c r="N150" s="178" t="s">
        <v>387</v>
      </c>
      <c r="O150" s="165">
        <v>2024</v>
      </c>
    </row>
    <row r="151" spans="1:15">
      <c r="A151" s="74">
        <v>45539</v>
      </c>
      <c r="B151" s="18" t="s">
        <v>31</v>
      </c>
      <c r="C151" s="75">
        <v>3</v>
      </c>
      <c r="D151" s="32" t="s">
        <v>399</v>
      </c>
      <c r="E151" s="75">
        <v>7</v>
      </c>
      <c r="F151" s="18" t="s">
        <v>77</v>
      </c>
      <c r="G151" s="6" t="s">
        <v>400</v>
      </c>
      <c r="H151" s="6" t="s">
        <v>401</v>
      </c>
      <c r="I151" s="49" t="s">
        <v>16</v>
      </c>
      <c r="J151" s="48" t="s">
        <v>17</v>
      </c>
      <c r="K151" s="6" t="s">
        <v>401</v>
      </c>
      <c r="L151" s="176">
        <f t="shared" si="2"/>
        <v>45539</v>
      </c>
      <c r="M151" s="179" t="s">
        <v>129</v>
      </c>
      <c r="N151" s="178" t="s">
        <v>387</v>
      </c>
      <c r="O151" s="165">
        <v>2024</v>
      </c>
    </row>
    <row r="152" spans="1:15">
      <c r="A152" s="74">
        <v>45539</v>
      </c>
      <c r="B152" s="18" t="s">
        <v>31</v>
      </c>
      <c r="C152" s="75">
        <v>3</v>
      </c>
      <c r="D152" s="32" t="s">
        <v>159</v>
      </c>
      <c r="E152" s="75">
        <v>75</v>
      </c>
      <c r="F152" s="18" t="s">
        <v>77</v>
      </c>
      <c r="G152" s="6" t="s">
        <v>400</v>
      </c>
      <c r="H152" s="6" t="s">
        <v>161</v>
      </c>
      <c r="I152" s="49" t="s">
        <v>16</v>
      </c>
      <c r="J152" s="48" t="s">
        <v>17</v>
      </c>
      <c r="K152" s="6" t="s">
        <v>161</v>
      </c>
      <c r="L152" s="176">
        <f t="shared" si="2"/>
        <v>45539</v>
      </c>
      <c r="M152" s="179" t="s">
        <v>129</v>
      </c>
      <c r="N152" s="178" t="s">
        <v>387</v>
      </c>
      <c r="O152" s="165">
        <v>2024</v>
      </c>
    </row>
    <row r="153" ht="40.8" spans="1:15">
      <c r="A153" s="74">
        <v>45539</v>
      </c>
      <c r="B153" s="18" t="s">
        <v>31</v>
      </c>
      <c r="C153" s="75">
        <v>3</v>
      </c>
      <c r="D153" s="32" t="s">
        <v>402</v>
      </c>
      <c r="E153" s="75">
        <v>83</v>
      </c>
      <c r="F153" s="18" t="s">
        <v>27</v>
      </c>
      <c r="G153" s="6" t="s">
        <v>403</v>
      </c>
      <c r="H153" s="32" t="s">
        <v>349</v>
      </c>
      <c r="I153" s="49" t="s">
        <v>16</v>
      </c>
      <c r="J153" s="48" t="s">
        <v>17</v>
      </c>
      <c r="K153" s="6" t="s">
        <v>404</v>
      </c>
      <c r="L153" s="176">
        <f t="shared" si="2"/>
        <v>45539</v>
      </c>
      <c r="M153" s="179" t="s">
        <v>129</v>
      </c>
      <c r="N153" s="178" t="s">
        <v>387</v>
      </c>
      <c r="O153" s="165">
        <v>2024</v>
      </c>
    </row>
    <row r="154" spans="1:15">
      <c r="A154" s="74">
        <v>45539</v>
      </c>
      <c r="B154" s="20" t="s">
        <v>31</v>
      </c>
      <c r="C154" s="77">
        <v>3</v>
      </c>
      <c r="D154" s="35" t="s">
        <v>405</v>
      </c>
      <c r="E154" s="77">
        <v>41</v>
      </c>
      <c r="F154" s="20" t="s">
        <v>266</v>
      </c>
      <c r="G154" s="7" t="s">
        <v>406</v>
      </c>
      <c r="H154" s="7" t="s">
        <v>407</v>
      </c>
      <c r="I154" s="51" t="s">
        <v>16</v>
      </c>
      <c r="J154" s="50" t="s">
        <v>17</v>
      </c>
      <c r="K154" s="7" t="s">
        <v>407</v>
      </c>
      <c r="L154" s="176">
        <f t="shared" si="2"/>
        <v>45539</v>
      </c>
      <c r="M154" s="179" t="s">
        <v>129</v>
      </c>
      <c r="N154" s="178" t="s">
        <v>387</v>
      </c>
      <c r="O154" s="165">
        <v>2024</v>
      </c>
    </row>
    <row r="155" spans="1:15">
      <c r="A155" s="74">
        <v>45539</v>
      </c>
      <c r="B155" s="21" t="s">
        <v>87</v>
      </c>
      <c r="C155" s="80">
        <v>3</v>
      </c>
      <c r="D155" s="39" t="s">
        <v>408</v>
      </c>
      <c r="E155" s="80">
        <v>4</v>
      </c>
      <c r="F155" s="21" t="s">
        <v>13</v>
      </c>
      <c r="G155" s="8" t="s">
        <v>409</v>
      </c>
      <c r="H155" s="8" t="s">
        <v>410</v>
      </c>
      <c r="I155" s="53" t="s">
        <v>16</v>
      </c>
      <c r="J155" s="55" t="s">
        <v>17</v>
      </c>
      <c r="K155" s="8" t="s">
        <v>410</v>
      </c>
      <c r="L155" s="176">
        <f t="shared" si="2"/>
        <v>45539</v>
      </c>
      <c r="M155" s="179" t="s">
        <v>129</v>
      </c>
      <c r="N155" s="178" t="s">
        <v>387</v>
      </c>
      <c r="O155" s="165">
        <v>2024</v>
      </c>
    </row>
    <row r="156" spans="1:15">
      <c r="A156" s="74">
        <v>45539</v>
      </c>
      <c r="B156" s="18" t="s">
        <v>87</v>
      </c>
      <c r="C156" s="75">
        <v>3</v>
      </c>
      <c r="D156" s="32" t="s">
        <v>411</v>
      </c>
      <c r="E156" s="75">
        <v>19</v>
      </c>
      <c r="F156" s="18" t="s">
        <v>13</v>
      </c>
      <c r="G156" s="6" t="s">
        <v>409</v>
      </c>
      <c r="H156" s="32" t="s">
        <v>153</v>
      </c>
      <c r="I156" s="49" t="s">
        <v>16</v>
      </c>
      <c r="J156" s="48" t="s">
        <v>17</v>
      </c>
      <c r="K156" s="6" t="s">
        <v>155</v>
      </c>
      <c r="L156" s="176">
        <f t="shared" si="2"/>
        <v>45539</v>
      </c>
      <c r="M156" s="179" t="s">
        <v>129</v>
      </c>
      <c r="N156" s="178" t="s">
        <v>387</v>
      </c>
      <c r="O156" s="165">
        <v>2024</v>
      </c>
    </row>
    <row r="157" ht="40.8" spans="1:15">
      <c r="A157" s="74">
        <v>45539</v>
      </c>
      <c r="B157" s="18" t="s">
        <v>87</v>
      </c>
      <c r="C157" s="75">
        <v>3</v>
      </c>
      <c r="D157" s="32" t="s">
        <v>412</v>
      </c>
      <c r="E157" s="75">
        <v>7</v>
      </c>
      <c r="F157" s="18" t="s">
        <v>13</v>
      </c>
      <c r="G157" s="6" t="s">
        <v>409</v>
      </c>
      <c r="H157" s="6" t="s">
        <v>46</v>
      </c>
      <c r="I157" s="49" t="s">
        <v>16</v>
      </c>
      <c r="J157" s="48" t="s">
        <v>17</v>
      </c>
      <c r="K157" s="6" t="s">
        <v>46</v>
      </c>
      <c r="L157" s="176">
        <f t="shared" si="2"/>
        <v>45539</v>
      </c>
      <c r="M157" s="179" t="s">
        <v>129</v>
      </c>
      <c r="N157" s="178" t="s">
        <v>387</v>
      </c>
      <c r="O157" s="165">
        <v>2024</v>
      </c>
    </row>
    <row r="158" spans="1:15">
      <c r="A158" s="74">
        <v>45539</v>
      </c>
      <c r="B158" s="18" t="s">
        <v>87</v>
      </c>
      <c r="C158" s="75">
        <v>3</v>
      </c>
      <c r="D158" s="32" t="s">
        <v>413</v>
      </c>
      <c r="E158" s="75">
        <v>22</v>
      </c>
      <c r="F158" s="18" t="s">
        <v>49</v>
      </c>
      <c r="G158" s="6" t="s">
        <v>414</v>
      </c>
      <c r="H158" s="32" t="s">
        <v>15</v>
      </c>
      <c r="I158" s="49" t="s">
        <v>16</v>
      </c>
      <c r="J158" s="48" t="s">
        <v>17</v>
      </c>
      <c r="K158" s="6" t="s">
        <v>415</v>
      </c>
      <c r="L158" s="176">
        <f t="shared" si="2"/>
        <v>45539</v>
      </c>
      <c r="M158" s="179" t="s">
        <v>129</v>
      </c>
      <c r="N158" s="178" t="s">
        <v>387</v>
      </c>
      <c r="O158" s="165">
        <v>2024</v>
      </c>
    </row>
    <row r="159" spans="1:15">
      <c r="A159" s="74">
        <v>45539</v>
      </c>
      <c r="B159" s="18" t="s">
        <v>87</v>
      </c>
      <c r="C159" s="75">
        <v>3</v>
      </c>
      <c r="D159" s="32" t="s">
        <v>416</v>
      </c>
      <c r="E159" s="75">
        <v>7</v>
      </c>
      <c r="F159" s="18" t="s">
        <v>49</v>
      </c>
      <c r="G159" s="6" t="s">
        <v>414</v>
      </c>
      <c r="H159" s="32" t="s">
        <v>368</v>
      </c>
      <c r="I159" s="49" t="s">
        <v>16</v>
      </c>
      <c r="J159" s="48" t="s">
        <v>17</v>
      </c>
      <c r="K159" s="6" t="s">
        <v>417</v>
      </c>
      <c r="L159" s="176">
        <f t="shared" si="2"/>
        <v>45539</v>
      </c>
      <c r="M159" s="179" t="s">
        <v>129</v>
      </c>
      <c r="N159" s="178" t="s">
        <v>387</v>
      </c>
      <c r="O159" s="165">
        <v>2024</v>
      </c>
    </row>
    <row r="160" ht="40.8" spans="1:15">
      <c r="A160" s="74">
        <v>45539</v>
      </c>
      <c r="B160" s="18" t="s">
        <v>87</v>
      </c>
      <c r="C160" s="75">
        <v>3</v>
      </c>
      <c r="D160" s="32" t="s">
        <v>418</v>
      </c>
      <c r="E160" s="75">
        <v>327</v>
      </c>
      <c r="F160" s="18" t="s">
        <v>44</v>
      </c>
      <c r="G160" s="6" t="s">
        <v>419</v>
      </c>
      <c r="H160" s="32" t="s">
        <v>309</v>
      </c>
      <c r="I160" s="49" t="s">
        <v>16</v>
      </c>
      <c r="J160" s="48" t="s">
        <v>17</v>
      </c>
      <c r="K160" s="6" t="s">
        <v>420</v>
      </c>
      <c r="L160" s="176">
        <f t="shared" si="2"/>
        <v>45539</v>
      </c>
      <c r="M160" s="179" t="s">
        <v>129</v>
      </c>
      <c r="N160" s="178" t="s">
        <v>387</v>
      </c>
      <c r="O160" s="165">
        <v>2024</v>
      </c>
    </row>
    <row r="161" spans="1:15">
      <c r="A161" s="74">
        <v>45539</v>
      </c>
      <c r="B161" s="18" t="s">
        <v>87</v>
      </c>
      <c r="C161" s="75">
        <v>3</v>
      </c>
      <c r="D161" s="32" t="s">
        <v>421</v>
      </c>
      <c r="E161" s="75">
        <v>17</v>
      </c>
      <c r="F161" s="18" t="s">
        <v>24</v>
      </c>
      <c r="G161" s="6" t="s">
        <v>142</v>
      </c>
      <c r="H161" s="6" t="s">
        <v>141</v>
      </c>
      <c r="I161" s="49" t="s">
        <v>16</v>
      </c>
      <c r="J161" s="48" t="s">
        <v>17</v>
      </c>
      <c r="K161" s="6" t="s">
        <v>141</v>
      </c>
      <c r="L161" s="176">
        <f t="shared" si="2"/>
        <v>45539</v>
      </c>
      <c r="M161" s="179" t="s">
        <v>129</v>
      </c>
      <c r="N161" s="178" t="s">
        <v>387</v>
      </c>
      <c r="O161" s="165">
        <v>2024</v>
      </c>
    </row>
    <row r="162" spans="1:15">
      <c r="A162" s="74">
        <v>45539</v>
      </c>
      <c r="B162" s="18" t="s">
        <v>87</v>
      </c>
      <c r="C162" s="75">
        <v>3</v>
      </c>
      <c r="D162" s="32" t="s">
        <v>422</v>
      </c>
      <c r="E162" s="75">
        <v>46</v>
      </c>
      <c r="F162" s="18" t="s">
        <v>53</v>
      </c>
      <c r="G162" s="6" t="s">
        <v>423</v>
      </c>
      <c r="H162" s="32" t="s">
        <v>376</v>
      </c>
      <c r="I162" s="49" t="s">
        <v>16</v>
      </c>
      <c r="J162" s="48" t="s">
        <v>17</v>
      </c>
      <c r="K162" s="6" t="s">
        <v>424</v>
      </c>
      <c r="L162" s="176">
        <f t="shared" si="2"/>
        <v>45539</v>
      </c>
      <c r="M162" s="179" t="s">
        <v>129</v>
      </c>
      <c r="N162" s="178" t="s">
        <v>387</v>
      </c>
      <c r="O162" s="165">
        <v>2024</v>
      </c>
    </row>
    <row r="163" spans="1:15">
      <c r="A163" s="74">
        <v>45539</v>
      </c>
      <c r="B163" s="18" t="s">
        <v>87</v>
      </c>
      <c r="C163" s="75">
        <v>3</v>
      </c>
      <c r="D163" s="32" t="s">
        <v>425</v>
      </c>
      <c r="E163" s="75">
        <v>13</v>
      </c>
      <c r="F163" s="18" t="s">
        <v>53</v>
      </c>
      <c r="G163" s="6" t="s">
        <v>423</v>
      </c>
      <c r="H163" s="6" t="s">
        <v>426</v>
      </c>
      <c r="I163" s="49" t="s">
        <v>16</v>
      </c>
      <c r="J163" s="48" t="s">
        <v>17</v>
      </c>
      <c r="K163" s="6" t="s">
        <v>426</v>
      </c>
      <c r="L163" s="176">
        <f t="shared" si="2"/>
        <v>45539</v>
      </c>
      <c r="M163" s="179" t="s">
        <v>129</v>
      </c>
      <c r="N163" s="178" t="s">
        <v>387</v>
      </c>
      <c r="O163" s="165">
        <v>2024</v>
      </c>
    </row>
    <row r="164" ht="40.8" spans="1:15">
      <c r="A164" s="78">
        <v>45539</v>
      </c>
      <c r="B164" s="20" t="s">
        <v>87</v>
      </c>
      <c r="C164" s="77">
        <v>3</v>
      </c>
      <c r="D164" s="35" t="s">
        <v>427</v>
      </c>
      <c r="E164" s="77">
        <v>211</v>
      </c>
      <c r="F164" s="20" t="s">
        <v>39</v>
      </c>
      <c r="G164" s="7" t="s">
        <v>428</v>
      </c>
      <c r="H164" s="7" t="s">
        <v>172</v>
      </c>
      <c r="I164" s="51" t="s">
        <v>16</v>
      </c>
      <c r="J164" s="50" t="s">
        <v>36</v>
      </c>
      <c r="K164" s="7" t="s">
        <v>172</v>
      </c>
      <c r="L164" s="176">
        <f t="shared" si="2"/>
        <v>45539</v>
      </c>
      <c r="M164" s="23" t="s">
        <v>129</v>
      </c>
      <c r="N164" s="178" t="s">
        <v>387</v>
      </c>
      <c r="O164" s="165">
        <v>2024</v>
      </c>
    </row>
    <row r="165" spans="1:15">
      <c r="A165" s="79">
        <v>45540</v>
      </c>
      <c r="B165" s="21" t="s">
        <v>11</v>
      </c>
      <c r="C165" s="80">
        <v>2</v>
      </c>
      <c r="D165" s="39" t="s">
        <v>429</v>
      </c>
      <c r="E165" s="80">
        <v>12</v>
      </c>
      <c r="F165" s="21" t="s">
        <v>301</v>
      </c>
      <c r="G165" s="8" t="s">
        <v>430</v>
      </c>
      <c r="H165" s="8" t="s">
        <v>185</v>
      </c>
      <c r="I165" s="53" t="s">
        <v>16</v>
      </c>
      <c r="J165" s="55" t="s">
        <v>17</v>
      </c>
      <c r="K165" s="8" t="s">
        <v>185</v>
      </c>
      <c r="L165" s="176">
        <f t="shared" si="2"/>
        <v>45540</v>
      </c>
      <c r="M165" s="180" t="s">
        <v>129</v>
      </c>
      <c r="N165" s="178" t="s">
        <v>431</v>
      </c>
      <c r="O165" s="165">
        <v>2024</v>
      </c>
    </row>
    <row r="166" spans="1:15">
      <c r="A166" s="74">
        <v>45540</v>
      </c>
      <c r="B166" s="18" t="s">
        <v>31</v>
      </c>
      <c r="C166" s="75">
        <v>3</v>
      </c>
      <c r="D166" s="32" t="s">
        <v>432</v>
      </c>
      <c r="E166" s="75">
        <v>55</v>
      </c>
      <c r="F166" s="18" t="s">
        <v>13</v>
      </c>
      <c r="G166" s="6" t="s">
        <v>433</v>
      </c>
      <c r="H166" s="32" t="s">
        <v>390</v>
      </c>
      <c r="I166" s="49" t="s">
        <v>16</v>
      </c>
      <c r="J166" s="48" t="s">
        <v>17</v>
      </c>
      <c r="K166" s="6" t="s">
        <v>434</v>
      </c>
      <c r="L166" s="176">
        <f t="shared" si="2"/>
        <v>45540</v>
      </c>
      <c r="M166" s="179" t="s">
        <v>129</v>
      </c>
      <c r="N166" s="178" t="s">
        <v>431</v>
      </c>
      <c r="O166" s="165">
        <v>2024</v>
      </c>
    </row>
    <row r="167" ht="40.8" spans="1:15">
      <c r="A167" s="74">
        <v>45540</v>
      </c>
      <c r="B167" s="18" t="s">
        <v>31</v>
      </c>
      <c r="C167" s="75">
        <v>3</v>
      </c>
      <c r="D167" s="32" t="s">
        <v>435</v>
      </c>
      <c r="E167" s="75">
        <v>5</v>
      </c>
      <c r="F167" s="18" t="s">
        <v>13</v>
      </c>
      <c r="G167" s="6" t="s">
        <v>433</v>
      </c>
      <c r="H167" s="6" t="s">
        <v>209</v>
      </c>
      <c r="I167" s="49" t="s">
        <v>16</v>
      </c>
      <c r="J167" s="48" t="s">
        <v>17</v>
      </c>
      <c r="K167" s="6" t="s">
        <v>209</v>
      </c>
      <c r="L167" s="176">
        <f t="shared" si="2"/>
        <v>45540</v>
      </c>
      <c r="M167" s="179" t="s">
        <v>129</v>
      </c>
      <c r="N167" s="178" t="s">
        <v>431</v>
      </c>
      <c r="O167" s="165">
        <v>2024</v>
      </c>
    </row>
    <row r="168" spans="1:15">
      <c r="A168" s="74">
        <v>45540</v>
      </c>
      <c r="B168" s="18" t="s">
        <v>31</v>
      </c>
      <c r="C168" s="75">
        <v>3</v>
      </c>
      <c r="D168" s="32" t="s">
        <v>436</v>
      </c>
      <c r="E168" s="75">
        <v>35</v>
      </c>
      <c r="F168" s="18" t="s">
        <v>104</v>
      </c>
      <c r="G168" s="6" t="s">
        <v>437</v>
      </c>
      <c r="H168" s="6" t="s">
        <v>336</v>
      </c>
      <c r="I168" s="49" t="s">
        <v>16</v>
      </c>
      <c r="J168" s="48" t="s">
        <v>17</v>
      </c>
      <c r="K168" s="6" t="s">
        <v>336</v>
      </c>
      <c r="L168" s="176">
        <f t="shared" si="2"/>
        <v>45540</v>
      </c>
      <c r="M168" s="179" t="s">
        <v>129</v>
      </c>
      <c r="N168" s="178" t="s">
        <v>431</v>
      </c>
      <c r="O168" s="165">
        <v>2024</v>
      </c>
    </row>
    <row r="169" spans="1:15">
      <c r="A169" s="74">
        <v>45540</v>
      </c>
      <c r="B169" s="18" t="s">
        <v>31</v>
      </c>
      <c r="C169" s="75">
        <v>3</v>
      </c>
      <c r="D169" s="32" t="s">
        <v>438</v>
      </c>
      <c r="E169" s="75">
        <v>25</v>
      </c>
      <c r="F169" s="18" t="s">
        <v>49</v>
      </c>
      <c r="G169" s="6" t="s">
        <v>439</v>
      </c>
      <c r="H169" s="32" t="s">
        <v>440</v>
      </c>
      <c r="I169" s="49" t="s">
        <v>16</v>
      </c>
      <c r="J169" s="48" t="s">
        <v>17</v>
      </c>
      <c r="K169" s="6" t="s">
        <v>441</v>
      </c>
      <c r="L169" s="176">
        <f t="shared" si="2"/>
        <v>45540</v>
      </c>
      <c r="M169" s="179" t="s">
        <v>129</v>
      </c>
      <c r="N169" s="178" t="s">
        <v>431</v>
      </c>
      <c r="O169" s="165">
        <v>2024</v>
      </c>
    </row>
    <row r="170" spans="1:15">
      <c r="A170" s="74">
        <v>45540</v>
      </c>
      <c r="B170" s="18" t="s">
        <v>31</v>
      </c>
      <c r="C170" s="75">
        <v>3</v>
      </c>
      <c r="D170" s="32" t="s">
        <v>442</v>
      </c>
      <c r="E170" s="75">
        <v>18</v>
      </c>
      <c r="F170" s="18" t="s">
        <v>49</v>
      </c>
      <c r="G170" s="6" t="s">
        <v>439</v>
      </c>
      <c r="H170" s="32" t="s">
        <v>189</v>
      </c>
      <c r="I170" s="49" t="s">
        <v>16</v>
      </c>
      <c r="J170" s="48" t="s">
        <v>17</v>
      </c>
      <c r="K170" s="6" t="s">
        <v>443</v>
      </c>
      <c r="L170" s="176">
        <f t="shared" si="2"/>
        <v>45540</v>
      </c>
      <c r="M170" s="179" t="s">
        <v>129</v>
      </c>
      <c r="N170" s="178" t="s">
        <v>431</v>
      </c>
      <c r="O170" s="165">
        <v>2024</v>
      </c>
    </row>
    <row r="171" spans="1:15">
      <c r="A171" s="74">
        <v>45540</v>
      </c>
      <c r="B171" s="18" t="s">
        <v>31</v>
      </c>
      <c r="C171" s="75">
        <v>3</v>
      </c>
      <c r="D171" s="32" t="s">
        <v>444</v>
      </c>
      <c r="E171" s="75">
        <v>94</v>
      </c>
      <c r="F171" s="18" t="s">
        <v>77</v>
      </c>
      <c r="G171" s="6" t="s">
        <v>445</v>
      </c>
      <c r="H171" s="32" t="s">
        <v>446</v>
      </c>
      <c r="I171" s="49" t="s">
        <v>16</v>
      </c>
      <c r="J171" s="48" t="s">
        <v>17</v>
      </c>
      <c r="K171" s="6" t="s">
        <v>447</v>
      </c>
      <c r="L171" s="176">
        <f t="shared" si="2"/>
        <v>45540</v>
      </c>
      <c r="M171" s="179" t="s">
        <v>129</v>
      </c>
      <c r="N171" s="178" t="s">
        <v>431</v>
      </c>
      <c r="O171" s="165">
        <v>2024</v>
      </c>
    </row>
    <row r="172" spans="1:15">
      <c r="A172" s="74">
        <v>45540</v>
      </c>
      <c r="B172" s="18" t="s">
        <v>31</v>
      </c>
      <c r="C172" s="75">
        <v>3</v>
      </c>
      <c r="D172" s="32" t="s">
        <v>448</v>
      </c>
      <c r="E172" s="75">
        <v>119</v>
      </c>
      <c r="F172" s="18" t="s">
        <v>33</v>
      </c>
      <c r="G172" s="6" t="s">
        <v>449</v>
      </c>
      <c r="H172" s="32" t="s">
        <v>450</v>
      </c>
      <c r="I172" s="49" t="s">
        <v>16</v>
      </c>
      <c r="J172" s="48" t="s">
        <v>36</v>
      </c>
      <c r="K172" s="6" t="s">
        <v>417</v>
      </c>
      <c r="L172" s="176">
        <f t="shared" si="2"/>
        <v>45540</v>
      </c>
      <c r="M172" s="179" t="s">
        <v>129</v>
      </c>
      <c r="N172" s="178" t="s">
        <v>431</v>
      </c>
      <c r="O172" s="165">
        <v>2024</v>
      </c>
    </row>
    <row r="173" spans="1:15">
      <c r="A173" s="74">
        <v>45540</v>
      </c>
      <c r="B173" s="18" t="s">
        <v>31</v>
      </c>
      <c r="C173" s="75">
        <v>3</v>
      </c>
      <c r="D173" s="32" t="s">
        <v>451</v>
      </c>
      <c r="E173" s="75">
        <v>91</v>
      </c>
      <c r="F173" s="18" t="s">
        <v>73</v>
      </c>
      <c r="G173" s="6" t="s">
        <v>452</v>
      </c>
      <c r="H173" s="32" t="s">
        <v>453</v>
      </c>
      <c r="I173" s="49" t="s">
        <v>16</v>
      </c>
      <c r="J173" s="48" t="s">
        <v>36</v>
      </c>
      <c r="K173" s="6" t="s">
        <v>454</v>
      </c>
      <c r="L173" s="176">
        <f t="shared" si="2"/>
        <v>45540</v>
      </c>
      <c r="M173" s="179" t="s">
        <v>129</v>
      </c>
      <c r="N173" s="178" t="s">
        <v>431</v>
      </c>
      <c r="O173" s="165">
        <v>2024</v>
      </c>
    </row>
    <row r="174" ht="40.8" spans="1:15">
      <c r="A174" s="74">
        <v>45540</v>
      </c>
      <c r="B174" s="18" t="s">
        <v>31</v>
      </c>
      <c r="C174" s="75">
        <v>3</v>
      </c>
      <c r="D174" s="32" t="s">
        <v>455</v>
      </c>
      <c r="E174" s="75">
        <v>280</v>
      </c>
      <c r="F174" s="18" t="s">
        <v>39</v>
      </c>
      <c r="G174" s="6" t="s">
        <v>456</v>
      </c>
      <c r="H174" s="32" t="s">
        <v>457</v>
      </c>
      <c r="I174" s="49" t="s">
        <v>16</v>
      </c>
      <c r="J174" s="48" t="s">
        <v>36</v>
      </c>
      <c r="K174" s="6" t="s">
        <v>458</v>
      </c>
      <c r="L174" s="176">
        <f t="shared" si="2"/>
        <v>45540</v>
      </c>
      <c r="M174" s="179" t="s">
        <v>129</v>
      </c>
      <c r="N174" s="178" t="s">
        <v>431</v>
      </c>
      <c r="O174" s="165">
        <v>2024</v>
      </c>
    </row>
    <row r="175" spans="1:15">
      <c r="A175" s="74">
        <v>45540</v>
      </c>
      <c r="B175" s="18" t="s">
        <v>31</v>
      </c>
      <c r="C175" s="75">
        <v>3</v>
      </c>
      <c r="D175" s="32" t="s">
        <v>459</v>
      </c>
      <c r="E175" s="75">
        <v>51</v>
      </c>
      <c r="F175" s="18" t="s">
        <v>53</v>
      </c>
      <c r="G175" s="6" t="s">
        <v>460</v>
      </c>
      <c r="H175" s="6" t="s">
        <v>461</v>
      </c>
      <c r="I175" s="49" t="s">
        <v>16</v>
      </c>
      <c r="J175" s="48" t="s">
        <v>17</v>
      </c>
      <c r="K175" s="6" t="s">
        <v>461</v>
      </c>
      <c r="L175" s="176">
        <f t="shared" si="2"/>
        <v>45540</v>
      </c>
      <c r="M175" s="179" t="s">
        <v>129</v>
      </c>
      <c r="N175" s="178" t="s">
        <v>431</v>
      </c>
      <c r="O175" s="165">
        <v>2024</v>
      </c>
    </row>
    <row r="176" spans="1:15">
      <c r="A176" s="74">
        <v>45540</v>
      </c>
      <c r="B176" s="18" t="s">
        <v>31</v>
      </c>
      <c r="C176" s="75">
        <v>3</v>
      </c>
      <c r="D176" s="32" t="s">
        <v>462</v>
      </c>
      <c r="E176" s="75">
        <v>1</v>
      </c>
      <c r="F176" s="18" t="s">
        <v>68</v>
      </c>
      <c r="G176" s="6" t="s">
        <v>463</v>
      </c>
      <c r="H176" s="6" t="s">
        <v>352</v>
      </c>
      <c r="I176" s="49" t="s">
        <v>16</v>
      </c>
      <c r="J176" s="48" t="s">
        <v>17</v>
      </c>
      <c r="K176" s="6" t="s">
        <v>352</v>
      </c>
      <c r="L176" s="176">
        <f t="shared" si="2"/>
        <v>45540</v>
      </c>
      <c r="M176" s="179" t="s">
        <v>129</v>
      </c>
      <c r="N176" s="178" t="s">
        <v>431</v>
      </c>
      <c r="O176" s="165">
        <v>2024</v>
      </c>
    </row>
    <row r="177" spans="1:15">
      <c r="A177" s="74">
        <v>45540</v>
      </c>
      <c r="B177" s="18" t="s">
        <v>31</v>
      </c>
      <c r="C177" s="75">
        <v>3</v>
      </c>
      <c r="D177" s="32" t="s">
        <v>464</v>
      </c>
      <c r="E177" s="75">
        <v>54</v>
      </c>
      <c r="F177" s="18" t="s">
        <v>68</v>
      </c>
      <c r="G177" s="6" t="s">
        <v>463</v>
      </c>
      <c r="H177" s="6" t="s">
        <v>352</v>
      </c>
      <c r="I177" s="49" t="s">
        <v>16</v>
      </c>
      <c r="J177" s="48" t="s">
        <v>17</v>
      </c>
      <c r="K177" s="6" t="s">
        <v>352</v>
      </c>
      <c r="L177" s="176">
        <f t="shared" si="2"/>
        <v>45540</v>
      </c>
      <c r="M177" s="179" t="s">
        <v>129</v>
      </c>
      <c r="N177" s="178" t="s">
        <v>431</v>
      </c>
      <c r="O177" s="165">
        <v>2024</v>
      </c>
    </row>
    <row r="178" spans="1:15">
      <c r="A178" s="74">
        <v>45540</v>
      </c>
      <c r="B178" s="18" t="s">
        <v>31</v>
      </c>
      <c r="C178" s="75">
        <v>3</v>
      </c>
      <c r="D178" s="32" t="s">
        <v>465</v>
      </c>
      <c r="E178" s="75">
        <v>30</v>
      </c>
      <c r="F178" s="18" t="s">
        <v>63</v>
      </c>
      <c r="G178" s="6" t="s">
        <v>466</v>
      </c>
      <c r="H178" s="6" t="s">
        <v>254</v>
      </c>
      <c r="I178" s="49" t="s">
        <v>16</v>
      </c>
      <c r="J178" s="48" t="s">
        <v>17</v>
      </c>
      <c r="K178" s="6" t="s">
        <v>254</v>
      </c>
      <c r="L178" s="176">
        <f t="shared" si="2"/>
        <v>45540</v>
      </c>
      <c r="M178" s="179" t="s">
        <v>129</v>
      </c>
      <c r="N178" s="178" t="s">
        <v>431</v>
      </c>
      <c r="O178" s="165">
        <v>2024</v>
      </c>
    </row>
    <row r="179" spans="1:15">
      <c r="A179" s="74">
        <v>45540</v>
      </c>
      <c r="B179" s="18" t="s">
        <v>31</v>
      </c>
      <c r="C179" s="75">
        <v>3</v>
      </c>
      <c r="D179" s="32" t="s">
        <v>467</v>
      </c>
      <c r="E179" s="75">
        <v>18</v>
      </c>
      <c r="F179" s="18" t="s">
        <v>63</v>
      </c>
      <c r="G179" s="6" t="s">
        <v>466</v>
      </c>
      <c r="H179" s="6" t="s">
        <v>254</v>
      </c>
      <c r="I179" s="49" t="s">
        <v>16</v>
      </c>
      <c r="J179" s="48" t="s">
        <v>17</v>
      </c>
      <c r="K179" s="6" t="s">
        <v>254</v>
      </c>
      <c r="L179" s="176">
        <f t="shared" si="2"/>
        <v>45540</v>
      </c>
      <c r="M179" s="179" t="s">
        <v>129</v>
      </c>
      <c r="N179" s="178" t="s">
        <v>431</v>
      </c>
      <c r="O179" s="165">
        <v>2024</v>
      </c>
    </row>
    <row r="180" spans="1:15">
      <c r="A180" s="74">
        <v>45540</v>
      </c>
      <c r="B180" s="20" t="s">
        <v>31</v>
      </c>
      <c r="C180" s="77">
        <v>3</v>
      </c>
      <c r="D180" s="35" t="s">
        <v>468</v>
      </c>
      <c r="E180" s="77">
        <v>5</v>
      </c>
      <c r="F180" s="20" t="s">
        <v>63</v>
      </c>
      <c r="G180" s="7" t="s">
        <v>466</v>
      </c>
      <c r="H180" s="7" t="s">
        <v>254</v>
      </c>
      <c r="I180" s="51" t="s">
        <v>16</v>
      </c>
      <c r="J180" s="50" t="s">
        <v>17</v>
      </c>
      <c r="K180" s="7" t="s">
        <v>254</v>
      </c>
      <c r="L180" s="176">
        <f t="shared" si="2"/>
        <v>45540</v>
      </c>
      <c r="M180" s="179" t="s">
        <v>129</v>
      </c>
      <c r="N180" s="178" t="s">
        <v>431</v>
      </c>
      <c r="O180" s="165">
        <v>2024</v>
      </c>
    </row>
    <row r="181" spans="1:15">
      <c r="A181" s="74">
        <v>45540</v>
      </c>
      <c r="B181" s="21" t="s">
        <v>80</v>
      </c>
      <c r="C181" s="80">
        <v>2</v>
      </c>
      <c r="D181" s="39" t="s">
        <v>432</v>
      </c>
      <c r="E181" s="80">
        <v>55</v>
      </c>
      <c r="F181" s="21" t="s">
        <v>163</v>
      </c>
      <c r="G181" s="8" t="s">
        <v>469</v>
      </c>
      <c r="H181" s="39" t="s">
        <v>390</v>
      </c>
      <c r="I181" s="53" t="s">
        <v>115</v>
      </c>
      <c r="J181" s="55" t="s">
        <v>17</v>
      </c>
      <c r="K181" s="8" t="s">
        <v>434</v>
      </c>
      <c r="L181" s="176">
        <f t="shared" si="2"/>
        <v>45540</v>
      </c>
      <c r="M181" s="179" t="s">
        <v>129</v>
      </c>
      <c r="N181" s="178" t="s">
        <v>431</v>
      </c>
      <c r="O181" s="165">
        <v>2024</v>
      </c>
    </row>
    <row r="182" spans="1:15">
      <c r="A182" s="74">
        <v>45540</v>
      </c>
      <c r="B182" s="18" t="s">
        <v>80</v>
      </c>
      <c r="C182" s="75">
        <v>2</v>
      </c>
      <c r="D182" s="32" t="s">
        <v>470</v>
      </c>
      <c r="E182" s="75">
        <v>5</v>
      </c>
      <c r="F182" s="18" t="s">
        <v>49</v>
      </c>
      <c r="G182" s="6" t="s">
        <v>471</v>
      </c>
      <c r="H182" s="32" t="s">
        <v>446</v>
      </c>
      <c r="I182" s="49" t="s">
        <v>16</v>
      </c>
      <c r="J182" s="48" t="s">
        <v>17</v>
      </c>
      <c r="K182" s="6" t="s">
        <v>472</v>
      </c>
      <c r="L182" s="176">
        <f t="shared" si="2"/>
        <v>45540</v>
      </c>
      <c r="M182" s="179" t="s">
        <v>129</v>
      </c>
      <c r="N182" s="178" t="s">
        <v>431</v>
      </c>
      <c r="O182" s="165">
        <v>2024</v>
      </c>
    </row>
    <row r="183" spans="1:15">
      <c r="A183" s="74">
        <v>45540</v>
      </c>
      <c r="B183" s="18" t="s">
        <v>80</v>
      </c>
      <c r="C183" s="75">
        <v>2</v>
      </c>
      <c r="D183" s="32" t="s">
        <v>473</v>
      </c>
      <c r="E183" s="75">
        <v>35</v>
      </c>
      <c r="F183" s="18" t="s">
        <v>27</v>
      </c>
      <c r="G183" s="6" t="s">
        <v>474</v>
      </c>
      <c r="H183" s="6" t="s">
        <v>178</v>
      </c>
      <c r="I183" s="49" t="s">
        <v>16</v>
      </c>
      <c r="J183" s="48" t="s">
        <v>17</v>
      </c>
      <c r="K183" s="6" t="s">
        <v>178</v>
      </c>
      <c r="L183" s="176">
        <f t="shared" si="2"/>
        <v>45540</v>
      </c>
      <c r="M183" s="179" t="s">
        <v>129</v>
      </c>
      <c r="N183" s="178" t="s">
        <v>431</v>
      </c>
      <c r="O183" s="165">
        <v>2024</v>
      </c>
    </row>
    <row r="184" spans="1:15">
      <c r="A184" s="74">
        <v>45540</v>
      </c>
      <c r="B184" s="18" t="s">
        <v>80</v>
      </c>
      <c r="C184" s="75">
        <v>2</v>
      </c>
      <c r="D184" s="32" t="s">
        <v>475</v>
      </c>
      <c r="E184" s="75">
        <v>32</v>
      </c>
      <c r="F184" s="18" t="s">
        <v>27</v>
      </c>
      <c r="G184" s="6" t="s">
        <v>474</v>
      </c>
      <c r="H184" s="6" t="s">
        <v>178</v>
      </c>
      <c r="I184" s="49" t="s">
        <v>16</v>
      </c>
      <c r="J184" s="48" t="s">
        <v>17</v>
      </c>
      <c r="K184" s="6" t="s">
        <v>178</v>
      </c>
      <c r="L184" s="176">
        <f t="shared" si="2"/>
        <v>45540</v>
      </c>
      <c r="M184" s="179" t="s">
        <v>129</v>
      </c>
      <c r="N184" s="178" t="s">
        <v>431</v>
      </c>
      <c r="O184" s="165">
        <v>2024</v>
      </c>
    </row>
    <row r="185" spans="1:15">
      <c r="A185" s="74">
        <v>45540</v>
      </c>
      <c r="B185" s="18" t="s">
        <v>87</v>
      </c>
      <c r="C185" s="75">
        <v>3</v>
      </c>
      <c r="D185" s="32" t="s">
        <v>476</v>
      </c>
      <c r="E185" s="75">
        <v>6</v>
      </c>
      <c r="F185" s="18" t="s">
        <v>33</v>
      </c>
      <c r="G185" s="6" t="s">
        <v>477</v>
      </c>
      <c r="H185" s="6" t="s">
        <v>478</v>
      </c>
      <c r="I185" s="49" t="s">
        <v>16</v>
      </c>
      <c r="J185" s="48" t="s">
        <v>128</v>
      </c>
      <c r="K185" s="6" t="s">
        <v>478</v>
      </c>
      <c r="L185" s="176">
        <f t="shared" si="2"/>
        <v>45540</v>
      </c>
      <c r="M185" s="179" t="s">
        <v>129</v>
      </c>
      <c r="N185" s="178" t="s">
        <v>431</v>
      </c>
      <c r="O185" s="165">
        <v>2024</v>
      </c>
    </row>
    <row r="186" ht="40.8" spans="1:15">
      <c r="A186" s="74">
        <v>45540</v>
      </c>
      <c r="B186" s="18" t="s">
        <v>87</v>
      </c>
      <c r="C186" s="75">
        <v>3</v>
      </c>
      <c r="D186" s="32" t="s">
        <v>479</v>
      </c>
      <c r="E186" s="75">
        <v>101</v>
      </c>
      <c r="F186" s="18" t="s">
        <v>33</v>
      </c>
      <c r="G186" s="6" t="s">
        <v>477</v>
      </c>
      <c r="H186" s="32" t="s">
        <v>294</v>
      </c>
      <c r="I186" s="49" t="s">
        <v>16</v>
      </c>
      <c r="J186" s="48" t="s">
        <v>119</v>
      </c>
      <c r="K186" s="6" t="s">
        <v>480</v>
      </c>
      <c r="L186" s="176">
        <f t="shared" si="2"/>
        <v>45540</v>
      </c>
      <c r="M186" s="179" t="s">
        <v>129</v>
      </c>
      <c r="N186" s="178" t="s">
        <v>431</v>
      </c>
      <c r="O186" s="165">
        <v>2024</v>
      </c>
    </row>
    <row r="187" spans="1:15">
      <c r="A187" s="74">
        <v>45540</v>
      </c>
      <c r="B187" s="18" t="s">
        <v>87</v>
      </c>
      <c r="C187" s="75">
        <v>3</v>
      </c>
      <c r="D187" s="32" t="s">
        <v>481</v>
      </c>
      <c r="E187" s="75">
        <v>29</v>
      </c>
      <c r="F187" s="18" t="s">
        <v>13</v>
      </c>
      <c r="G187" s="6" t="s">
        <v>482</v>
      </c>
      <c r="H187" s="6" t="s">
        <v>483</v>
      </c>
      <c r="I187" s="49" t="s">
        <v>16</v>
      </c>
      <c r="J187" s="48" t="s">
        <v>17</v>
      </c>
      <c r="K187" s="6" t="s">
        <v>483</v>
      </c>
      <c r="L187" s="176">
        <f t="shared" si="2"/>
        <v>45540</v>
      </c>
      <c r="M187" s="179" t="s">
        <v>129</v>
      </c>
      <c r="N187" s="178" t="s">
        <v>431</v>
      </c>
      <c r="O187" s="165">
        <v>2024</v>
      </c>
    </row>
    <row r="188" spans="1:15">
      <c r="A188" s="74">
        <v>45540</v>
      </c>
      <c r="B188" s="18" t="s">
        <v>87</v>
      </c>
      <c r="C188" s="75">
        <v>3</v>
      </c>
      <c r="D188" s="32" t="s">
        <v>484</v>
      </c>
      <c r="E188" s="75">
        <v>7</v>
      </c>
      <c r="F188" s="18" t="s">
        <v>13</v>
      </c>
      <c r="G188" s="6" t="s">
        <v>482</v>
      </c>
      <c r="H188" s="32" t="s">
        <v>394</v>
      </c>
      <c r="I188" s="49" t="s">
        <v>16</v>
      </c>
      <c r="J188" s="48" t="s">
        <v>17</v>
      </c>
      <c r="K188" s="6" t="s">
        <v>485</v>
      </c>
      <c r="L188" s="176">
        <f t="shared" si="2"/>
        <v>45540</v>
      </c>
      <c r="M188" s="179" t="s">
        <v>129</v>
      </c>
      <c r="N188" s="178" t="s">
        <v>431</v>
      </c>
      <c r="O188" s="165">
        <v>2024</v>
      </c>
    </row>
    <row r="189" ht="40.8" spans="1:15">
      <c r="A189" s="74">
        <v>45540</v>
      </c>
      <c r="B189" s="18" t="s">
        <v>87</v>
      </c>
      <c r="C189" s="75">
        <v>3</v>
      </c>
      <c r="D189" s="32" t="s">
        <v>486</v>
      </c>
      <c r="E189" s="75">
        <v>25</v>
      </c>
      <c r="F189" s="18" t="s">
        <v>301</v>
      </c>
      <c r="G189" s="6" t="s">
        <v>487</v>
      </c>
      <c r="H189" s="32" t="s">
        <v>440</v>
      </c>
      <c r="I189" s="49" t="s">
        <v>16</v>
      </c>
      <c r="J189" s="48" t="s">
        <v>17</v>
      </c>
      <c r="K189" s="6" t="s">
        <v>488</v>
      </c>
      <c r="L189" s="176">
        <f t="shared" si="2"/>
        <v>45540</v>
      </c>
      <c r="M189" s="179" t="s">
        <v>129</v>
      </c>
      <c r="N189" s="178" t="s">
        <v>431</v>
      </c>
      <c r="O189" s="165">
        <v>2024</v>
      </c>
    </row>
    <row r="190" spans="1:15">
      <c r="A190" s="74">
        <v>45540</v>
      </c>
      <c r="B190" s="18" t="s">
        <v>87</v>
      </c>
      <c r="C190" s="75">
        <v>3</v>
      </c>
      <c r="D190" s="32" t="s">
        <v>489</v>
      </c>
      <c r="E190" s="75">
        <v>164</v>
      </c>
      <c r="F190" s="18" t="s">
        <v>58</v>
      </c>
      <c r="G190" s="6" t="s">
        <v>490</v>
      </c>
      <c r="H190" s="32" t="s">
        <v>294</v>
      </c>
      <c r="I190" s="49" t="s">
        <v>16</v>
      </c>
      <c r="J190" s="48" t="s">
        <v>36</v>
      </c>
      <c r="K190" s="6" t="s">
        <v>491</v>
      </c>
      <c r="L190" s="176">
        <f t="shared" si="2"/>
        <v>45540</v>
      </c>
      <c r="M190" s="179" t="s">
        <v>129</v>
      </c>
      <c r="N190" s="178" t="s">
        <v>431</v>
      </c>
      <c r="O190" s="165">
        <v>2024</v>
      </c>
    </row>
    <row r="191" spans="1:15">
      <c r="A191" s="74">
        <v>45540</v>
      </c>
      <c r="B191" s="18" t="s">
        <v>87</v>
      </c>
      <c r="C191" s="75">
        <v>3</v>
      </c>
      <c r="D191" s="32" t="s">
        <v>492</v>
      </c>
      <c r="E191" s="75">
        <v>87</v>
      </c>
      <c r="F191" s="18" t="s">
        <v>77</v>
      </c>
      <c r="G191" s="6" t="s">
        <v>493</v>
      </c>
      <c r="H191" s="32" t="s">
        <v>494</v>
      </c>
      <c r="I191" s="49" t="s">
        <v>16</v>
      </c>
      <c r="J191" s="48" t="s">
        <v>17</v>
      </c>
      <c r="K191" s="6" t="s">
        <v>495</v>
      </c>
      <c r="L191" s="176">
        <f t="shared" si="2"/>
        <v>45540</v>
      </c>
      <c r="M191" s="179" t="s">
        <v>129</v>
      </c>
      <c r="N191" s="178" t="s">
        <v>431</v>
      </c>
      <c r="O191" s="165">
        <v>2024</v>
      </c>
    </row>
    <row r="192" ht="40.8" spans="1:15">
      <c r="A192" s="74">
        <v>45540</v>
      </c>
      <c r="B192" s="18" t="s">
        <v>87</v>
      </c>
      <c r="C192" s="75">
        <v>3</v>
      </c>
      <c r="D192" s="32" t="s">
        <v>496</v>
      </c>
      <c r="E192" s="75">
        <v>165</v>
      </c>
      <c r="F192" s="18" t="s">
        <v>73</v>
      </c>
      <c r="G192" s="6" t="s">
        <v>497</v>
      </c>
      <c r="H192" s="6" t="s">
        <v>498</v>
      </c>
      <c r="I192" s="49" t="s">
        <v>16</v>
      </c>
      <c r="J192" s="48" t="s">
        <v>17</v>
      </c>
      <c r="K192" s="6" t="s">
        <v>498</v>
      </c>
      <c r="L192" s="176">
        <f t="shared" si="2"/>
        <v>45540</v>
      </c>
      <c r="M192" s="179" t="s">
        <v>129</v>
      </c>
      <c r="N192" s="178" t="s">
        <v>431</v>
      </c>
      <c r="O192" s="165">
        <v>2024</v>
      </c>
    </row>
    <row r="193" ht="40.8" spans="1:15">
      <c r="A193" s="74">
        <v>45540</v>
      </c>
      <c r="B193" s="18" t="s">
        <v>312</v>
      </c>
      <c r="C193" s="75">
        <v>4</v>
      </c>
      <c r="D193" s="32" t="s">
        <v>499</v>
      </c>
      <c r="E193" s="75">
        <v>21</v>
      </c>
      <c r="F193" s="18" t="s">
        <v>24</v>
      </c>
      <c r="G193" s="6" t="s">
        <v>500</v>
      </c>
      <c r="H193" s="6" t="s">
        <v>501</v>
      </c>
      <c r="I193" s="49" t="s">
        <v>16</v>
      </c>
      <c r="J193" s="48" t="s">
        <v>17</v>
      </c>
      <c r="K193" s="6" t="s">
        <v>501</v>
      </c>
      <c r="L193" s="176">
        <f t="shared" si="2"/>
        <v>45540</v>
      </c>
      <c r="M193" s="179" t="s">
        <v>129</v>
      </c>
      <c r="N193" s="178" t="s">
        <v>431</v>
      </c>
      <c r="O193" s="165">
        <v>2024</v>
      </c>
    </row>
    <row r="194" spans="1:15">
      <c r="A194" s="74">
        <v>45540</v>
      </c>
      <c r="B194" s="18" t="s">
        <v>312</v>
      </c>
      <c r="C194" s="75">
        <v>4</v>
      </c>
      <c r="D194" s="32" t="s">
        <v>462</v>
      </c>
      <c r="E194" s="75">
        <v>1</v>
      </c>
      <c r="F194" s="18" t="s">
        <v>68</v>
      </c>
      <c r="G194" s="6" t="s">
        <v>463</v>
      </c>
      <c r="H194" s="6" t="s">
        <v>352</v>
      </c>
      <c r="I194" s="49" t="s">
        <v>115</v>
      </c>
      <c r="J194" s="48" t="s">
        <v>17</v>
      </c>
      <c r="K194" s="6" t="s">
        <v>352</v>
      </c>
      <c r="L194" s="176">
        <f t="shared" si="2"/>
        <v>45540</v>
      </c>
      <c r="M194" s="179" t="s">
        <v>129</v>
      </c>
      <c r="N194" s="178" t="s">
        <v>431</v>
      </c>
      <c r="O194" s="165">
        <v>2024</v>
      </c>
    </row>
    <row r="195" spans="1:15">
      <c r="A195" s="78">
        <v>45540</v>
      </c>
      <c r="B195" s="20" t="s">
        <v>312</v>
      </c>
      <c r="C195" s="77">
        <v>4</v>
      </c>
      <c r="D195" s="35" t="s">
        <v>464</v>
      </c>
      <c r="E195" s="77">
        <v>54</v>
      </c>
      <c r="F195" s="20" t="s">
        <v>68</v>
      </c>
      <c r="G195" s="7" t="s">
        <v>463</v>
      </c>
      <c r="H195" s="7" t="s">
        <v>352</v>
      </c>
      <c r="I195" s="51" t="s">
        <v>16</v>
      </c>
      <c r="J195" s="50" t="s">
        <v>17</v>
      </c>
      <c r="K195" s="7" t="s">
        <v>352</v>
      </c>
      <c r="L195" s="176">
        <f t="shared" si="2"/>
        <v>45540</v>
      </c>
      <c r="M195" s="23" t="s">
        <v>129</v>
      </c>
      <c r="N195" s="178" t="s">
        <v>431</v>
      </c>
      <c r="O195" s="165">
        <v>2024</v>
      </c>
    </row>
    <row r="196" spans="1:15">
      <c r="A196" s="79">
        <v>45541</v>
      </c>
      <c r="B196" s="21" t="s">
        <v>11</v>
      </c>
      <c r="C196" s="80">
        <v>2</v>
      </c>
      <c r="D196" s="39" t="s">
        <v>502</v>
      </c>
      <c r="E196" s="80">
        <v>27</v>
      </c>
      <c r="F196" s="21" t="s">
        <v>301</v>
      </c>
      <c r="G196" s="8" t="s">
        <v>503</v>
      </c>
      <c r="H196" s="39" t="s">
        <v>504</v>
      </c>
      <c r="I196" s="53" t="s">
        <v>16</v>
      </c>
      <c r="J196" s="55" t="s">
        <v>17</v>
      </c>
      <c r="K196" s="8" t="s">
        <v>326</v>
      </c>
      <c r="L196" s="176">
        <f t="shared" si="2"/>
        <v>45541</v>
      </c>
      <c r="M196" s="180" t="s">
        <v>129</v>
      </c>
      <c r="N196" s="178" t="s">
        <v>505</v>
      </c>
      <c r="O196" s="165">
        <v>2024</v>
      </c>
    </row>
    <row r="197" spans="1:15">
      <c r="A197" s="74">
        <v>45541</v>
      </c>
      <c r="B197" s="18" t="s">
        <v>11</v>
      </c>
      <c r="C197" s="75">
        <v>2</v>
      </c>
      <c r="D197" s="32" t="s">
        <v>211</v>
      </c>
      <c r="E197" s="75">
        <v>40</v>
      </c>
      <c r="F197" s="18" t="s">
        <v>24</v>
      </c>
      <c r="G197" s="6" t="s">
        <v>506</v>
      </c>
      <c r="H197" s="6" t="s">
        <v>231</v>
      </c>
      <c r="I197" s="49" t="s">
        <v>115</v>
      </c>
      <c r="J197" s="48" t="s">
        <v>17</v>
      </c>
      <c r="K197" s="6" t="s">
        <v>231</v>
      </c>
      <c r="L197" s="176">
        <f t="shared" ref="L197:L260" si="3">DATE(2024,M197,N197)</f>
        <v>45541</v>
      </c>
      <c r="M197" s="179" t="s">
        <v>129</v>
      </c>
      <c r="N197" s="178" t="s">
        <v>505</v>
      </c>
      <c r="O197" s="165">
        <v>2024</v>
      </c>
    </row>
    <row r="198" spans="1:15">
      <c r="A198" s="74">
        <v>45541</v>
      </c>
      <c r="B198" s="18" t="s">
        <v>11</v>
      </c>
      <c r="C198" s="75">
        <v>2</v>
      </c>
      <c r="D198" s="32" t="s">
        <v>211</v>
      </c>
      <c r="E198" s="75">
        <v>73</v>
      </c>
      <c r="F198" s="18" t="s">
        <v>27</v>
      </c>
      <c r="G198" s="6" t="s">
        <v>507</v>
      </c>
      <c r="H198" s="6" t="s">
        <v>231</v>
      </c>
      <c r="I198" s="49" t="s">
        <v>115</v>
      </c>
      <c r="J198" s="48" t="s">
        <v>17</v>
      </c>
      <c r="K198" s="6" t="s">
        <v>231</v>
      </c>
      <c r="L198" s="176">
        <f t="shared" si="3"/>
        <v>45541</v>
      </c>
      <c r="M198" s="179" t="s">
        <v>129</v>
      </c>
      <c r="N198" s="178" t="s">
        <v>505</v>
      </c>
      <c r="O198" s="165">
        <v>2024</v>
      </c>
    </row>
    <row r="199" ht="81.6" spans="1:15">
      <c r="A199" s="74">
        <v>45541</v>
      </c>
      <c r="B199" s="18" t="s">
        <v>31</v>
      </c>
      <c r="C199" s="75">
        <v>3</v>
      </c>
      <c r="D199" s="32" t="s">
        <v>508</v>
      </c>
      <c r="E199" s="75">
        <v>64</v>
      </c>
      <c r="F199" s="18" t="s">
        <v>135</v>
      </c>
      <c r="G199" s="6" t="s">
        <v>509</v>
      </c>
      <c r="H199" s="32" t="s">
        <v>510</v>
      </c>
      <c r="I199" s="49" t="s">
        <v>16</v>
      </c>
      <c r="J199" s="48" t="s">
        <v>17</v>
      </c>
      <c r="K199" s="6" t="s">
        <v>511</v>
      </c>
      <c r="L199" s="176">
        <f t="shared" si="3"/>
        <v>45541</v>
      </c>
      <c r="M199" s="179" t="s">
        <v>129</v>
      </c>
      <c r="N199" s="178" t="s">
        <v>505</v>
      </c>
      <c r="O199" s="165">
        <v>2024</v>
      </c>
    </row>
    <row r="200" ht="81.6" spans="1:15">
      <c r="A200" s="74">
        <v>45541</v>
      </c>
      <c r="B200" s="18" t="s">
        <v>31</v>
      </c>
      <c r="C200" s="75">
        <v>3</v>
      </c>
      <c r="D200" s="32" t="s">
        <v>508</v>
      </c>
      <c r="E200" s="75">
        <v>18</v>
      </c>
      <c r="F200" s="18" t="s">
        <v>246</v>
      </c>
      <c r="G200" s="6" t="s">
        <v>512</v>
      </c>
      <c r="H200" s="32" t="s">
        <v>510</v>
      </c>
      <c r="I200" s="49" t="s">
        <v>16</v>
      </c>
      <c r="J200" s="48" t="s">
        <v>17</v>
      </c>
      <c r="K200" s="6" t="s">
        <v>511</v>
      </c>
      <c r="L200" s="176">
        <f t="shared" si="3"/>
        <v>45541</v>
      </c>
      <c r="M200" s="179" t="s">
        <v>129</v>
      </c>
      <c r="N200" s="178" t="s">
        <v>505</v>
      </c>
      <c r="O200" s="165">
        <v>2024</v>
      </c>
    </row>
    <row r="201" spans="1:15">
      <c r="A201" s="74">
        <v>45541</v>
      </c>
      <c r="B201" s="18" t="s">
        <v>31</v>
      </c>
      <c r="C201" s="75">
        <v>3</v>
      </c>
      <c r="D201" s="32" t="s">
        <v>513</v>
      </c>
      <c r="E201" s="75">
        <v>31</v>
      </c>
      <c r="F201" s="18" t="s">
        <v>246</v>
      </c>
      <c r="G201" s="6" t="s">
        <v>512</v>
      </c>
      <c r="H201" s="6" t="s">
        <v>514</v>
      </c>
      <c r="I201" s="49" t="s">
        <v>16</v>
      </c>
      <c r="J201" s="48" t="s">
        <v>17</v>
      </c>
      <c r="K201" s="6" t="s">
        <v>514</v>
      </c>
      <c r="L201" s="176">
        <f t="shared" si="3"/>
        <v>45541</v>
      </c>
      <c r="M201" s="179" t="s">
        <v>129</v>
      </c>
      <c r="N201" s="178" t="s">
        <v>505</v>
      </c>
      <c r="O201" s="165">
        <v>2024</v>
      </c>
    </row>
    <row r="202" spans="1:15">
      <c r="A202" s="74">
        <v>45541</v>
      </c>
      <c r="B202" s="18" t="s">
        <v>31</v>
      </c>
      <c r="C202" s="75">
        <v>3</v>
      </c>
      <c r="D202" s="32" t="s">
        <v>513</v>
      </c>
      <c r="E202" s="75">
        <v>58</v>
      </c>
      <c r="F202" s="18" t="s">
        <v>104</v>
      </c>
      <c r="G202" s="6" t="s">
        <v>515</v>
      </c>
      <c r="H202" s="6" t="s">
        <v>514</v>
      </c>
      <c r="I202" s="49" t="s">
        <v>16</v>
      </c>
      <c r="J202" s="48" t="s">
        <v>17</v>
      </c>
      <c r="K202" s="6" t="s">
        <v>514</v>
      </c>
      <c r="L202" s="176">
        <f t="shared" si="3"/>
        <v>45541</v>
      </c>
      <c r="M202" s="179" t="s">
        <v>129</v>
      </c>
      <c r="N202" s="178" t="s">
        <v>505</v>
      </c>
      <c r="O202" s="165">
        <v>2024</v>
      </c>
    </row>
    <row r="203" ht="40.8" spans="1:15">
      <c r="A203" s="74">
        <v>45541</v>
      </c>
      <c r="B203" s="18" t="s">
        <v>31</v>
      </c>
      <c r="C203" s="75">
        <v>3</v>
      </c>
      <c r="D203" s="32" t="s">
        <v>516</v>
      </c>
      <c r="E203" s="75">
        <v>414</v>
      </c>
      <c r="F203" s="18" t="s">
        <v>44</v>
      </c>
      <c r="G203" s="6" t="s">
        <v>517</v>
      </c>
      <c r="H203" s="32" t="s">
        <v>446</v>
      </c>
      <c r="I203" s="49" t="s">
        <v>16</v>
      </c>
      <c r="J203" s="48" t="s">
        <v>36</v>
      </c>
      <c r="K203" s="6" t="s">
        <v>518</v>
      </c>
      <c r="L203" s="176">
        <f t="shared" si="3"/>
        <v>45541</v>
      </c>
      <c r="M203" s="179" t="s">
        <v>129</v>
      </c>
      <c r="N203" s="178" t="s">
        <v>505</v>
      </c>
      <c r="O203" s="165">
        <v>2024</v>
      </c>
    </row>
    <row r="204" ht="40.8" spans="1:15">
      <c r="A204" s="74">
        <v>45541</v>
      </c>
      <c r="B204" s="18" t="s">
        <v>31</v>
      </c>
      <c r="C204" s="75">
        <v>3</v>
      </c>
      <c r="D204" s="32" t="s">
        <v>519</v>
      </c>
      <c r="E204" s="75">
        <v>270</v>
      </c>
      <c r="F204" s="18" t="s">
        <v>39</v>
      </c>
      <c r="G204" s="6" t="s">
        <v>520</v>
      </c>
      <c r="H204" s="32" t="s">
        <v>446</v>
      </c>
      <c r="I204" s="49" t="s">
        <v>16</v>
      </c>
      <c r="J204" s="48" t="s">
        <v>36</v>
      </c>
      <c r="K204" s="6" t="s">
        <v>518</v>
      </c>
      <c r="L204" s="176">
        <f t="shared" si="3"/>
        <v>45541</v>
      </c>
      <c r="M204" s="179" t="s">
        <v>129</v>
      </c>
      <c r="N204" s="178" t="s">
        <v>505</v>
      </c>
      <c r="O204" s="165">
        <v>2024</v>
      </c>
    </row>
    <row r="205" ht="40.8" spans="1:15">
      <c r="A205" s="74">
        <v>45541</v>
      </c>
      <c r="B205" s="18" t="s">
        <v>31</v>
      </c>
      <c r="C205" s="75">
        <v>3</v>
      </c>
      <c r="D205" s="32" t="s">
        <v>519</v>
      </c>
      <c r="E205" s="75">
        <v>187</v>
      </c>
      <c r="F205" s="18" t="s">
        <v>58</v>
      </c>
      <c r="G205" s="6" t="s">
        <v>521</v>
      </c>
      <c r="H205" s="32" t="s">
        <v>446</v>
      </c>
      <c r="I205" s="49" t="s">
        <v>16</v>
      </c>
      <c r="J205" s="48" t="s">
        <v>522</v>
      </c>
      <c r="K205" s="6" t="s">
        <v>518</v>
      </c>
      <c r="L205" s="176">
        <f t="shared" si="3"/>
        <v>45541</v>
      </c>
      <c r="M205" s="179" t="s">
        <v>129</v>
      </c>
      <c r="N205" s="178" t="s">
        <v>505</v>
      </c>
      <c r="O205" s="165">
        <v>2024</v>
      </c>
    </row>
    <row r="206" ht="40.8" spans="1:15">
      <c r="A206" s="74">
        <v>45541</v>
      </c>
      <c r="B206" s="18" t="s">
        <v>31</v>
      </c>
      <c r="C206" s="75">
        <v>3</v>
      </c>
      <c r="D206" s="32" t="s">
        <v>523</v>
      </c>
      <c r="E206" s="75">
        <v>27</v>
      </c>
      <c r="F206" s="18" t="s">
        <v>58</v>
      </c>
      <c r="G206" s="6" t="s">
        <v>521</v>
      </c>
      <c r="H206" s="6" t="s">
        <v>100</v>
      </c>
      <c r="I206" s="49" t="s">
        <v>16</v>
      </c>
      <c r="J206" s="48" t="s">
        <v>524</v>
      </c>
      <c r="K206" s="6" t="s">
        <v>100</v>
      </c>
      <c r="L206" s="176">
        <f t="shared" si="3"/>
        <v>45541</v>
      </c>
      <c r="M206" s="179" t="s">
        <v>129</v>
      </c>
      <c r="N206" s="178" t="s">
        <v>505</v>
      </c>
      <c r="O206" s="165">
        <v>2024</v>
      </c>
    </row>
    <row r="207" spans="1:15">
      <c r="A207" s="74">
        <v>45541</v>
      </c>
      <c r="B207" s="18" t="s">
        <v>31</v>
      </c>
      <c r="C207" s="75">
        <v>3</v>
      </c>
      <c r="D207" s="32" t="s">
        <v>525</v>
      </c>
      <c r="E207" s="75">
        <v>91</v>
      </c>
      <c r="F207" s="18" t="s">
        <v>77</v>
      </c>
      <c r="G207" s="6" t="s">
        <v>526</v>
      </c>
      <c r="H207" s="32" t="s">
        <v>21</v>
      </c>
      <c r="I207" s="49" t="s">
        <v>16</v>
      </c>
      <c r="J207" s="48" t="s">
        <v>17</v>
      </c>
      <c r="K207" s="6" t="s">
        <v>527</v>
      </c>
      <c r="L207" s="176">
        <f t="shared" si="3"/>
        <v>45541</v>
      </c>
      <c r="M207" s="179" t="s">
        <v>129</v>
      </c>
      <c r="N207" s="178" t="s">
        <v>505</v>
      </c>
      <c r="O207" s="165">
        <v>2024</v>
      </c>
    </row>
    <row r="208" ht="40.8" spans="1:15">
      <c r="A208" s="74">
        <v>45541</v>
      </c>
      <c r="B208" s="18" t="s">
        <v>31</v>
      </c>
      <c r="C208" s="75">
        <v>3</v>
      </c>
      <c r="D208" s="32" t="s">
        <v>528</v>
      </c>
      <c r="E208" s="75">
        <v>173</v>
      </c>
      <c r="F208" s="18" t="s">
        <v>33</v>
      </c>
      <c r="G208" s="6" t="s">
        <v>529</v>
      </c>
      <c r="H208" s="32" t="s">
        <v>530</v>
      </c>
      <c r="I208" s="49" t="s">
        <v>16</v>
      </c>
      <c r="J208" s="48" t="s">
        <v>36</v>
      </c>
      <c r="K208" s="6" t="s">
        <v>531</v>
      </c>
      <c r="L208" s="176">
        <f t="shared" si="3"/>
        <v>45541</v>
      </c>
      <c r="M208" s="179" t="s">
        <v>129</v>
      </c>
      <c r="N208" s="178" t="s">
        <v>505</v>
      </c>
      <c r="O208" s="165">
        <v>2024</v>
      </c>
    </row>
    <row r="209" spans="1:15">
      <c r="A209" s="74">
        <v>45541</v>
      </c>
      <c r="B209" s="18" t="s">
        <v>31</v>
      </c>
      <c r="C209" s="75">
        <v>3</v>
      </c>
      <c r="D209" s="32" t="s">
        <v>532</v>
      </c>
      <c r="E209" s="75">
        <v>70</v>
      </c>
      <c r="F209" s="18" t="s">
        <v>13</v>
      </c>
      <c r="G209" s="6" t="s">
        <v>533</v>
      </c>
      <c r="H209" s="32" t="s">
        <v>534</v>
      </c>
      <c r="I209" s="49" t="s">
        <v>16</v>
      </c>
      <c r="J209" s="48" t="s">
        <v>17</v>
      </c>
      <c r="K209" s="6" t="s">
        <v>535</v>
      </c>
      <c r="L209" s="176">
        <f t="shared" si="3"/>
        <v>45541</v>
      </c>
      <c r="M209" s="179" t="s">
        <v>129</v>
      </c>
      <c r="N209" s="178" t="s">
        <v>505</v>
      </c>
      <c r="O209" s="165">
        <v>2024</v>
      </c>
    </row>
    <row r="210" spans="1:15">
      <c r="A210" s="74">
        <v>45541</v>
      </c>
      <c r="B210" s="18" t="s">
        <v>31</v>
      </c>
      <c r="C210" s="75">
        <v>3</v>
      </c>
      <c r="D210" s="32" t="s">
        <v>532</v>
      </c>
      <c r="E210" s="75">
        <v>31</v>
      </c>
      <c r="F210" s="18" t="s">
        <v>49</v>
      </c>
      <c r="G210" s="6" t="s">
        <v>536</v>
      </c>
      <c r="H210" s="32" t="s">
        <v>534</v>
      </c>
      <c r="I210" s="49" t="s">
        <v>16</v>
      </c>
      <c r="J210" s="48" t="s">
        <v>17</v>
      </c>
      <c r="K210" s="6" t="s">
        <v>535</v>
      </c>
      <c r="L210" s="176">
        <f t="shared" si="3"/>
        <v>45541</v>
      </c>
      <c r="M210" s="179" t="s">
        <v>129</v>
      </c>
      <c r="N210" s="178" t="s">
        <v>505</v>
      </c>
      <c r="O210" s="165">
        <v>2024</v>
      </c>
    </row>
    <row r="211" spans="1:15">
      <c r="A211" s="74">
        <v>45541</v>
      </c>
      <c r="B211" s="18" t="s">
        <v>31</v>
      </c>
      <c r="C211" s="75">
        <v>3</v>
      </c>
      <c r="D211" s="32" t="s">
        <v>537</v>
      </c>
      <c r="E211" s="75">
        <v>13</v>
      </c>
      <c r="F211" s="18" t="s">
        <v>49</v>
      </c>
      <c r="G211" s="6" t="s">
        <v>536</v>
      </c>
      <c r="H211" s="32" t="s">
        <v>109</v>
      </c>
      <c r="I211" s="49" t="s">
        <v>16</v>
      </c>
      <c r="J211" s="48" t="s">
        <v>17</v>
      </c>
      <c r="K211" s="6" t="s">
        <v>110</v>
      </c>
      <c r="L211" s="176">
        <f t="shared" si="3"/>
        <v>45541</v>
      </c>
      <c r="M211" s="179" t="s">
        <v>129</v>
      </c>
      <c r="N211" s="178" t="s">
        <v>505</v>
      </c>
      <c r="O211" s="165">
        <v>2024</v>
      </c>
    </row>
    <row r="212" spans="1:15">
      <c r="A212" s="74">
        <v>45541</v>
      </c>
      <c r="B212" s="18" t="s">
        <v>31</v>
      </c>
      <c r="C212" s="75">
        <v>3</v>
      </c>
      <c r="D212" s="32" t="s">
        <v>538</v>
      </c>
      <c r="E212" s="75">
        <v>12</v>
      </c>
      <c r="F212" s="18" t="s">
        <v>49</v>
      </c>
      <c r="G212" s="6" t="s">
        <v>536</v>
      </c>
      <c r="H212" s="6" t="s">
        <v>539</v>
      </c>
      <c r="I212" s="49" t="s">
        <v>16</v>
      </c>
      <c r="J212" s="48" t="s">
        <v>17</v>
      </c>
      <c r="K212" s="6" t="s">
        <v>539</v>
      </c>
      <c r="L212" s="176">
        <f t="shared" si="3"/>
        <v>45541</v>
      </c>
      <c r="M212" s="179" t="s">
        <v>129</v>
      </c>
      <c r="N212" s="178" t="s">
        <v>505</v>
      </c>
      <c r="O212" s="165">
        <v>2024</v>
      </c>
    </row>
    <row r="213" ht="40.8" spans="1:15">
      <c r="A213" s="74">
        <v>45541</v>
      </c>
      <c r="B213" s="18" t="s">
        <v>31</v>
      </c>
      <c r="C213" s="75">
        <v>3</v>
      </c>
      <c r="D213" s="32" t="s">
        <v>540</v>
      </c>
      <c r="E213" s="75">
        <v>4</v>
      </c>
      <c r="F213" s="18" t="s">
        <v>53</v>
      </c>
      <c r="G213" s="6" t="s">
        <v>541</v>
      </c>
      <c r="H213" s="6" t="s">
        <v>534</v>
      </c>
      <c r="I213" s="49" t="s">
        <v>16</v>
      </c>
      <c r="J213" s="48" t="s">
        <v>17</v>
      </c>
      <c r="K213" s="6" t="s">
        <v>534</v>
      </c>
      <c r="L213" s="176">
        <f t="shared" si="3"/>
        <v>45541</v>
      </c>
      <c r="M213" s="179" t="s">
        <v>129</v>
      </c>
      <c r="N213" s="178" t="s">
        <v>505</v>
      </c>
      <c r="O213" s="165">
        <v>2024</v>
      </c>
    </row>
    <row r="214" spans="1:15">
      <c r="A214" s="74">
        <v>45541</v>
      </c>
      <c r="B214" s="18" t="s">
        <v>31</v>
      </c>
      <c r="C214" s="75">
        <v>3</v>
      </c>
      <c r="D214" s="32" t="s">
        <v>542</v>
      </c>
      <c r="E214" s="75">
        <v>50</v>
      </c>
      <c r="F214" s="18" t="s">
        <v>53</v>
      </c>
      <c r="G214" s="6" t="s">
        <v>541</v>
      </c>
      <c r="H214" s="6" t="s">
        <v>157</v>
      </c>
      <c r="I214" s="49" t="s">
        <v>16</v>
      </c>
      <c r="J214" s="48" t="s">
        <v>17</v>
      </c>
      <c r="K214" s="6" t="s">
        <v>157</v>
      </c>
      <c r="L214" s="176">
        <f t="shared" si="3"/>
        <v>45541</v>
      </c>
      <c r="M214" s="179" t="s">
        <v>129</v>
      </c>
      <c r="N214" s="178" t="s">
        <v>505</v>
      </c>
      <c r="O214" s="165">
        <v>2024</v>
      </c>
    </row>
    <row r="215" spans="1:15">
      <c r="A215" s="74">
        <v>45541</v>
      </c>
      <c r="B215" s="18" t="s">
        <v>31</v>
      </c>
      <c r="C215" s="75">
        <v>3</v>
      </c>
      <c r="D215" s="32" t="s">
        <v>543</v>
      </c>
      <c r="E215" s="75">
        <v>65</v>
      </c>
      <c r="F215" s="18" t="s">
        <v>63</v>
      </c>
      <c r="G215" s="6" t="s">
        <v>544</v>
      </c>
      <c r="H215" s="32" t="s">
        <v>244</v>
      </c>
      <c r="I215" s="49" t="s">
        <v>16</v>
      </c>
      <c r="J215" s="48" t="s">
        <v>17</v>
      </c>
      <c r="K215" s="6" t="s">
        <v>545</v>
      </c>
      <c r="L215" s="176">
        <f t="shared" si="3"/>
        <v>45541</v>
      </c>
      <c r="M215" s="179" t="s">
        <v>129</v>
      </c>
      <c r="N215" s="178" t="s">
        <v>505</v>
      </c>
      <c r="O215" s="165">
        <v>2024</v>
      </c>
    </row>
    <row r="216" spans="1:15">
      <c r="A216" s="74">
        <v>45541</v>
      </c>
      <c r="B216" s="21" t="s">
        <v>31</v>
      </c>
      <c r="C216" s="80">
        <v>3</v>
      </c>
      <c r="D216" s="39" t="s">
        <v>546</v>
      </c>
      <c r="E216" s="80">
        <v>7</v>
      </c>
      <c r="F216" s="21" t="s">
        <v>547</v>
      </c>
      <c r="G216" s="8" t="s">
        <v>548</v>
      </c>
      <c r="H216" s="39" t="s">
        <v>407</v>
      </c>
      <c r="I216" s="53" t="s">
        <v>16</v>
      </c>
      <c r="J216" s="55" t="s">
        <v>17</v>
      </c>
      <c r="K216" s="8" t="s">
        <v>548</v>
      </c>
      <c r="L216" s="176">
        <f t="shared" si="3"/>
        <v>45541</v>
      </c>
      <c r="M216" s="179" t="s">
        <v>129</v>
      </c>
      <c r="N216" s="178" t="s">
        <v>505</v>
      </c>
      <c r="O216" s="165">
        <v>2024</v>
      </c>
    </row>
    <row r="217" spans="1:15">
      <c r="A217" s="74">
        <v>45541</v>
      </c>
      <c r="B217" s="20" t="s">
        <v>31</v>
      </c>
      <c r="C217" s="77">
        <v>3</v>
      </c>
      <c r="D217" s="35" t="s">
        <v>549</v>
      </c>
      <c r="E217" s="77">
        <v>144</v>
      </c>
      <c r="F217" s="20" t="s">
        <v>73</v>
      </c>
      <c r="G217" s="7" t="s">
        <v>550</v>
      </c>
      <c r="H217" s="7" t="s">
        <v>75</v>
      </c>
      <c r="I217" s="51" t="s">
        <v>16</v>
      </c>
      <c r="J217" s="50" t="s">
        <v>36</v>
      </c>
      <c r="K217" s="7" t="s">
        <v>75</v>
      </c>
      <c r="L217" s="176">
        <f t="shared" si="3"/>
        <v>45541</v>
      </c>
      <c r="M217" s="179" t="s">
        <v>129</v>
      </c>
      <c r="N217" s="178" t="s">
        <v>505</v>
      </c>
      <c r="O217" s="165">
        <v>2024</v>
      </c>
    </row>
    <row r="218" spans="1:15">
      <c r="A218" s="74">
        <v>45541</v>
      </c>
      <c r="B218" s="21" t="s">
        <v>80</v>
      </c>
      <c r="C218" s="80"/>
      <c r="D218" s="39" t="s">
        <v>543</v>
      </c>
      <c r="E218" s="80">
        <v>65</v>
      </c>
      <c r="F218" s="21" t="s">
        <v>246</v>
      </c>
      <c r="G218" s="8" t="s">
        <v>551</v>
      </c>
      <c r="H218" s="39" t="s">
        <v>244</v>
      </c>
      <c r="I218" s="53" t="s">
        <v>16</v>
      </c>
      <c r="J218" s="55" t="s">
        <v>17</v>
      </c>
      <c r="K218" s="8" t="s">
        <v>545</v>
      </c>
      <c r="L218" s="176">
        <f t="shared" si="3"/>
        <v>45541</v>
      </c>
      <c r="M218" s="179" t="s">
        <v>129</v>
      </c>
      <c r="N218" s="178" t="s">
        <v>505</v>
      </c>
      <c r="O218" s="165">
        <v>2024</v>
      </c>
    </row>
    <row r="219" ht="40.8" spans="1:15">
      <c r="A219" s="74">
        <v>45541</v>
      </c>
      <c r="B219" s="18" t="s">
        <v>87</v>
      </c>
      <c r="C219" s="75">
        <v>3</v>
      </c>
      <c r="D219" s="32" t="s">
        <v>552</v>
      </c>
      <c r="E219" s="75">
        <v>51</v>
      </c>
      <c r="F219" s="18" t="s">
        <v>13</v>
      </c>
      <c r="G219" s="6" t="s">
        <v>553</v>
      </c>
      <c r="H219" s="6" t="s">
        <v>100</v>
      </c>
      <c r="I219" s="49" t="s">
        <v>16</v>
      </c>
      <c r="J219" s="48" t="s">
        <v>17</v>
      </c>
      <c r="K219" s="6" t="s">
        <v>100</v>
      </c>
      <c r="L219" s="176">
        <f t="shared" si="3"/>
        <v>45541</v>
      </c>
      <c r="M219" s="179" t="s">
        <v>129</v>
      </c>
      <c r="N219" s="178" t="s">
        <v>505</v>
      </c>
      <c r="O219" s="165">
        <v>2024</v>
      </c>
    </row>
    <row r="220" spans="1:15">
      <c r="A220" s="74">
        <v>45541</v>
      </c>
      <c r="B220" s="18" t="s">
        <v>87</v>
      </c>
      <c r="C220" s="75">
        <v>3</v>
      </c>
      <c r="D220" s="32" t="s">
        <v>554</v>
      </c>
      <c r="E220" s="75">
        <v>6</v>
      </c>
      <c r="F220" s="18" t="s">
        <v>13</v>
      </c>
      <c r="G220" s="6" t="s">
        <v>553</v>
      </c>
      <c r="H220" s="6" t="s">
        <v>555</v>
      </c>
      <c r="I220" s="49" t="s">
        <v>16</v>
      </c>
      <c r="J220" s="48" t="s">
        <v>17</v>
      </c>
      <c r="K220" s="6" t="s">
        <v>555</v>
      </c>
      <c r="L220" s="176">
        <f t="shared" si="3"/>
        <v>45541</v>
      </c>
      <c r="M220" s="179" t="s">
        <v>129</v>
      </c>
      <c r="N220" s="178" t="s">
        <v>505</v>
      </c>
      <c r="O220" s="165">
        <v>2024</v>
      </c>
    </row>
    <row r="221" ht="40.8" spans="1:15">
      <c r="A221" s="74">
        <v>45541</v>
      </c>
      <c r="B221" s="18" t="s">
        <v>87</v>
      </c>
      <c r="C221" s="75">
        <v>3</v>
      </c>
      <c r="D221" s="32" t="s">
        <v>556</v>
      </c>
      <c r="E221" s="75">
        <v>44</v>
      </c>
      <c r="F221" s="18" t="s">
        <v>63</v>
      </c>
      <c r="G221" s="6" t="s">
        <v>557</v>
      </c>
      <c r="H221" s="32" t="s">
        <v>284</v>
      </c>
      <c r="I221" s="49" t="s">
        <v>16</v>
      </c>
      <c r="J221" s="48" t="s">
        <v>17</v>
      </c>
      <c r="K221" s="6" t="s">
        <v>285</v>
      </c>
      <c r="L221" s="176">
        <f t="shared" si="3"/>
        <v>45541</v>
      </c>
      <c r="M221" s="179" t="s">
        <v>129</v>
      </c>
      <c r="N221" s="178" t="s">
        <v>505</v>
      </c>
      <c r="O221" s="165">
        <v>2024</v>
      </c>
    </row>
    <row r="222" spans="1:15">
      <c r="A222" s="74">
        <v>45541</v>
      </c>
      <c r="B222" s="18" t="s">
        <v>87</v>
      </c>
      <c r="C222" s="75">
        <v>3</v>
      </c>
      <c r="D222" s="32" t="s">
        <v>558</v>
      </c>
      <c r="E222" s="75">
        <v>149</v>
      </c>
      <c r="F222" s="18" t="s">
        <v>33</v>
      </c>
      <c r="G222" s="6" t="s">
        <v>559</v>
      </c>
      <c r="H222" s="32" t="s">
        <v>560</v>
      </c>
      <c r="I222" s="49" t="s">
        <v>16</v>
      </c>
      <c r="J222" s="48" t="s">
        <v>36</v>
      </c>
      <c r="K222" s="6" t="s">
        <v>561</v>
      </c>
      <c r="L222" s="176">
        <f t="shared" si="3"/>
        <v>45541</v>
      </c>
      <c r="M222" s="179" t="s">
        <v>129</v>
      </c>
      <c r="N222" s="178" t="s">
        <v>505</v>
      </c>
      <c r="O222" s="165">
        <v>2024</v>
      </c>
    </row>
    <row r="223" spans="1:15">
      <c r="A223" s="74">
        <v>45541</v>
      </c>
      <c r="B223" s="18" t="s">
        <v>87</v>
      </c>
      <c r="C223" s="75">
        <v>3</v>
      </c>
      <c r="D223" s="32" t="s">
        <v>562</v>
      </c>
      <c r="E223" s="75">
        <v>45</v>
      </c>
      <c r="F223" s="18" t="s">
        <v>49</v>
      </c>
      <c r="G223" s="6" t="s">
        <v>563</v>
      </c>
      <c r="H223" s="6" t="s">
        <v>178</v>
      </c>
      <c r="I223" s="49" t="s">
        <v>16</v>
      </c>
      <c r="J223" s="48" t="s">
        <v>17</v>
      </c>
      <c r="K223" s="6" t="s">
        <v>178</v>
      </c>
      <c r="L223" s="176">
        <f t="shared" si="3"/>
        <v>45541</v>
      </c>
      <c r="M223" s="179" t="s">
        <v>129</v>
      </c>
      <c r="N223" s="178" t="s">
        <v>505</v>
      </c>
      <c r="O223" s="165">
        <v>2024</v>
      </c>
    </row>
    <row r="224" spans="1:15">
      <c r="A224" s="74">
        <v>45541</v>
      </c>
      <c r="B224" s="18" t="s">
        <v>87</v>
      </c>
      <c r="C224" s="75">
        <v>3</v>
      </c>
      <c r="D224" s="32" t="s">
        <v>564</v>
      </c>
      <c r="E224" s="75">
        <v>43</v>
      </c>
      <c r="F224" s="18" t="s">
        <v>53</v>
      </c>
      <c r="G224" s="6" t="s">
        <v>565</v>
      </c>
      <c r="H224" s="6" t="s">
        <v>426</v>
      </c>
      <c r="I224" s="49" t="s">
        <v>16</v>
      </c>
      <c r="J224" s="48" t="s">
        <v>17</v>
      </c>
      <c r="K224" s="6" t="s">
        <v>426</v>
      </c>
      <c r="L224" s="176">
        <f t="shared" si="3"/>
        <v>45541</v>
      </c>
      <c r="M224" s="179" t="s">
        <v>129</v>
      </c>
      <c r="N224" s="178" t="s">
        <v>505</v>
      </c>
      <c r="O224" s="165">
        <v>2024</v>
      </c>
    </row>
    <row r="225" spans="1:15">
      <c r="A225" s="74">
        <v>45541</v>
      </c>
      <c r="B225" s="18" t="s">
        <v>87</v>
      </c>
      <c r="C225" s="75">
        <v>3</v>
      </c>
      <c r="D225" s="32" t="s">
        <v>566</v>
      </c>
      <c r="E225" s="75">
        <v>50</v>
      </c>
      <c r="F225" s="18" t="s">
        <v>315</v>
      </c>
      <c r="G225" s="6" t="s">
        <v>69</v>
      </c>
      <c r="H225" s="6" t="s">
        <v>70</v>
      </c>
      <c r="I225" s="49" t="s">
        <v>16</v>
      </c>
      <c r="J225" s="48" t="s">
        <v>17</v>
      </c>
      <c r="K225" s="6" t="s">
        <v>70</v>
      </c>
      <c r="L225" s="176">
        <f t="shared" si="3"/>
        <v>45541</v>
      </c>
      <c r="M225" s="179" t="s">
        <v>129</v>
      </c>
      <c r="N225" s="178" t="s">
        <v>505</v>
      </c>
      <c r="O225" s="165">
        <v>2024</v>
      </c>
    </row>
    <row r="226" spans="1:15">
      <c r="A226" s="74">
        <v>45541</v>
      </c>
      <c r="B226" s="18" t="s">
        <v>87</v>
      </c>
      <c r="C226" s="75">
        <v>3</v>
      </c>
      <c r="D226" s="32" t="s">
        <v>567</v>
      </c>
      <c r="E226" s="75">
        <v>18</v>
      </c>
      <c r="F226" s="18" t="s">
        <v>77</v>
      </c>
      <c r="G226" s="6" t="s">
        <v>568</v>
      </c>
      <c r="H226" s="32" t="s">
        <v>172</v>
      </c>
      <c r="I226" s="49" t="s">
        <v>16</v>
      </c>
      <c r="J226" s="48" t="s">
        <v>17</v>
      </c>
      <c r="K226" s="6" t="s">
        <v>174</v>
      </c>
      <c r="L226" s="176">
        <f t="shared" si="3"/>
        <v>45541</v>
      </c>
      <c r="M226" s="179" t="s">
        <v>129</v>
      </c>
      <c r="N226" s="178" t="s">
        <v>505</v>
      </c>
      <c r="O226" s="165">
        <v>2024</v>
      </c>
    </row>
    <row r="227" spans="1:15">
      <c r="A227" s="78">
        <v>45541</v>
      </c>
      <c r="B227" s="20" t="s">
        <v>87</v>
      </c>
      <c r="C227" s="77">
        <v>3</v>
      </c>
      <c r="D227" s="35" t="s">
        <v>569</v>
      </c>
      <c r="E227" s="77">
        <v>59</v>
      </c>
      <c r="F227" s="20" t="s">
        <v>77</v>
      </c>
      <c r="G227" s="7" t="s">
        <v>568</v>
      </c>
      <c r="H227" s="35" t="s">
        <v>172</v>
      </c>
      <c r="I227" s="51" t="s">
        <v>16</v>
      </c>
      <c r="J227" s="50" t="s">
        <v>17</v>
      </c>
      <c r="K227" s="7" t="s">
        <v>174</v>
      </c>
      <c r="L227" s="176">
        <f t="shared" si="3"/>
        <v>45541</v>
      </c>
      <c r="M227" s="23" t="s">
        <v>129</v>
      </c>
      <c r="N227" s="178" t="s">
        <v>505</v>
      </c>
      <c r="O227" s="165">
        <v>2024</v>
      </c>
    </row>
    <row r="228" ht="61.2" spans="1:15">
      <c r="A228" s="74">
        <v>45542</v>
      </c>
      <c r="B228" s="18" t="s">
        <v>11</v>
      </c>
      <c r="C228" s="75">
        <v>2</v>
      </c>
      <c r="D228" s="32" t="s">
        <v>570</v>
      </c>
      <c r="E228" s="75">
        <v>413</v>
      </c>
      <c r="F228" s="18" t="s">
        <v>44</v>
      </c>
      <c r="G228" s="6" t="s">
        <v>571</v>
      </c>
      <c r="H228" s="32" t="s">
        <v>572</v>
      </c>
      <c r="I228" s="49" t="s">
        <v>16</v>
      </c>
      <c r="J228" s="48" t="s">
        <v>36</v>
      </c>
      <c r="K228" s="6" t="s">
        <v>573</v>
      </c>
      <c r="L228" s="176">
        <f t="shared" si="3"/>
        <v>45542</v>
      </c>
      <c r="M228" s="179" t="s">
        <v>129</v>
      </c>
      <c r="N228" s="178" t="s">
        <v>574</v>
      </c>
      <c r="O228" s="165">
        <v>2024</v>
      </c>
    </row>
    <row r="229" ht="61.2" spans="1:15">
      <c r="A229" s="74">
        <v>45542</v>
      </c>
      <c r="B229" s="18" t="s">
        <v>11</v>
      </c>
      <c r="C229" s="75">
        <v>2</v>
      </c>
      <c r="D229" s="32" t="s">
        <v>575</v>
      </c>
      <c r="E229" s="75">
        <v>280</v>
      </c>
      <c r="F229" s="18" t="s">
        <v>39</v>
      </c>
      <c r="G229" s="6" t="s">
        <v>576</v>
      </c>
      <c r="H229" s="32" t="s">
        <v>572</v>
      </c>
      <c r="I229" s="49" t="s">
        <v>16</v>
      </c>
      <c r="J229" s="48" t="s">
        <v>36</v>
      </c>
      <c r="K229" s="6" t="s">
        <v>573</v>
      </c>
      <c r="L229" s="176">
        <f t="shared" si="3"/>
        <v>45542</v>
      </c>
      <c r="M229" s="179" t="s">
        <v>129</v>
      </c>
      <c r="N229" s="178" t="s">
        <v>574</v>
      </c>
      <c r="O229" s="165">
        <v>2024</v>
      </c>
    </row>
    <row r="230" ht="40.8" spans="1:15">
      <c r="A230" s="74">
        <v>45542</v>
      </c>
      <c r="B230" s="18" t="s">
        <v>11</v>
      </c>
      <c r="C230" s="75">
        <v>2</v>
      </c>
      <c r="D230" s="32" t="s">
        <v>575</v>
      </c>
      <c r="E230" s="75">
        <v>155</v>
      </c>
      <c r="F230" s="18" t="s">
        <v>33</v>
      </c>
      <c r="G230" s="6" t="s">
        <v>577</v>
      </c>
      <c r="H230" s="32" t="s">
        <v>572</v>
      </c>
      <c r="I230" s="49" t="s">
        <v>16</v>
      </c>
      <c r="J230" s="48" t="s">
        <v>36</v>
      </c>
      <c r="K230" s="6" t="s">
        <v>578</v>
      </c>
      <c r="L230" s="176">
        <f t="shared" si="3"/>
        <v>45542</v>
      </c>
      <c r="M230" s="179" t="s">
        <v>129</v>
      </c>
      <c r="N230" s="178" t="s">
        <v>574</v>
      </c>
      <c r="O230" s="165">
        <v>2024</v>
      </c>
    </row>
    <row r="231" ht="40.8" spans="1:15">
      <c r="A231" s="74">
        <v>45542</v>
      </c>
      <c r="B231" s="18" t="s">
        <v>11</v>
      </c>
      <c r="C231" s="75">
        <v>2</v>
      </c>
      <c r="D231" s="32" t="s">
        <v>579</v>
      </c>
      <c r="E231" s="75">
        <v>70</v>
      </c>
      <c r="F231" s="18" t="s">
        <v>13</v>
      </c>
      <c r="G231" s="6" t="s">
        <v>580</v>
      </c>
      <c r="H231" s="32" t="s">
        <v>21</v>
      </c>
      <c r="I231" s="49" t="s">
        <v>16</v>
      </c>
      <c r="J231" s="48" t="s">
        <v>17</v>
      </c>
      <c r="K231" s="6" t="s">
        <v>328</v>
      </c>
      <c r="L231" s="176">
        <f t="shared" si="3"/>
        <v>45542</v>
      </c>
      <c r="M231" s="179" t="s">
        <v>129</v>
      </c>
      <c r="N231" s="178" t="s">
        <v>574</v>
      </c>
      <c r="O231" s="165">
        <v>2024</v>
      </c>
    </row>
    <row r="232" ht="40.8" spans="1:15">
      <c r="A232" s="74">
        <v>45542</v>
      </c>
      <c r="B232" s="18" t="s">
        <v>11</v>
      </c>
      <c r="C232" s="75">
        <v>2</v>
      </c>
      <c r="D232" s="32" t="s">
        <v>581</v>
      </c>
      <c r="E232" s="75">
        <v>22</v>
      </c>
      <c r="F232" s="18" t="s">
        <v>49</v>
      </c>
      <c r="G232" s="6" t="s">
        <v>582</v>
      </c>
      <c r="H232" s="32" t="s">
        <v>21</v>
      </c>
      <c r="I232" s="49" t="s">
        <v>16</v>
      </c>
      <c r="J232" s="48" t="s">
        <v>17</v>
      </c>
      <c r="K232" s="6" t="s">
        <v>328</v>
      </c>
      <c r="L232" s="176">
        <f t="shared" si="3"/>
        <v>45542</v>
      </c>
      <c r="M232" s="179" t="s">
        <v>129</v>
      </c>
      <c r="N232" s="178" t="s">
        <v>574</v>
      </c>
      <c r="O232" s="165">
        <v>2024</v>
      </c>
    </row>
    <row r="233" ht="40.8" spans="1:15">
      <c r="A233" s="74">
        <v>45542</v>
      </c>
      <c r="B233" s="18" t="s">
        <v>11</v>
      </c>
      <c r="C233" s="75">
        <v>2</v>
      </c>
      <c r="D233" s="32" t="s">
        <v>583</v>
      </c>
      <c r="E233" s="75">
        <v>265</v>
      </c>
      <c r="F233" s="18" t="s">
        <v>58</v>
      </c>
      <c r="G233" s="6" t="s">
        <v>584</v>
      </c>
      <c r="H233" s="32" t="s">
        <v>83</v>
      </c>
      <c r="I233" s="49" t="s">
        <v>16</v>
      </c>
      <c r="J233" s="48" t="s">
        <v>36</v>
      </c>
      <c r="K233" s="6" t="s">
        <v>84</v>
      </c>
      <c r="L233" s="176">
        <f t="shared" si="3"/>
        <v>45542</v>
      </c>
      <c r="M233" s="179" t="s">
        <v>129</v>
      </c>
      <c r="N233" s="178" t="s">
        <v>574</v>
      </c>
      <c r="O233" s="165">
        <v>2024</v>
      </c>
    </row>
    <row r="234" ht="40.8" spans="1:15">
      <c r="A234" s="74">
        <v>45542</v>
      </c>
      <c r="B234" s="18" t="s">
        <v>11</v>
      </c>
      <c r="C234" s="75">
        <v>2</v>
      </c>
      <c r="D234" s="32" t="s">
        <v>585</v>
      </c>
      <c r="E234" s="75">
        <v>177</v>
      </c>
      <c r="F234" s="18" t="s">
        <v>73</v>
      </c>
      <c r="G234" s="6" t="s">
        <v>586</v>
      </c>
      <c r="H234" s="32" t="s">
        <v>83</v>
      </c>
      <c r="I234" s="49" t="s">
        <v>16</v>
      </c>
      <c r="J234" s="48" t="s">
        <v>36</v>
      </c>
      <c r="K234" s="6" t="s">
        <v>84</v>
      </c>
      <c r="L234" s="176">
        <f t="shared" si="3"/>
        <v>45542</v>
      </c>
      <c r="M234" s="179" t="s">
        <v>129</v>
      </c>
      <c r="N234" s="178" t="s">
        <v>574</v>
      </c>
      <c r="O234" s="165">
        <v>2024</v>
      </c>
    </row>
    <row r="235" ht="40.8" spans="1:15">
      <c r="A235" s="74">
        <v>45542</v>
      </c>
      <c r="B235" s="18" t="s">
        <v>31</v>
      </c>
      <c r="C235" s="75">
        <v>3</v>
      </c>
      <c r="D235" s="32" t="s">
        <v>587</v>
      </c>
      <c r="E235" s="75">
        <v>58</v>
      </c>
      <c r="F235" s="18" t="s">
        <v>53</v>
      </c>
      <c r="G235" s="6" t="s">
        <v>588</v>
      </c>
      <c r="H235" s="6" t="s">
        <v>331</v>
      </c>
      <c r="I235" s="49" t="s">
        <v>16</v>
      </c>
      <c r="J235" s="48" t="s">
        <v>17</v>
      </c>
      <c r="K235" s="6" t="s">
        <v>331</v>
      </c>
      <c r="L235" s="176">
        <f t="shared" si="3"/>
        <v>45542</v>
      </c>
      <c r="M235" s="179" t="s">
        <v>129</v>
      </c>
      <c r="N235" s="178" t="s">
        <v>574</v>
      </c>
      <c r="O235" s="165">
        <v>2024</v>
      </c>
    </row>
    <row r="236" ht="40.8" spans="1:15">
      <c r="A236" s="74">
        <v>45542</v>
      </c>
      <c r="B236" s="18" t="s">
        <v>31</v>
      </c>
      <c r="C236" s="75">
        <v>3</v>
      </c>
      <c r="D236" s="32" t="s">
        <v>589</v>
      </c>
      <c r="E236" s="75">
        <v>92</v>
      </c>
      <c r="F236" s="18" t="s">
        <v>77</v>
      </c>
      <c r="G236" s="6" t="s">
        <v>590</v>
      </c>
      <c r="H236" s="32" t="s">
        <v>591</v>
      </c>
      <c r="I236" s="49" t="s">
        <v>16</v>
      </c>
      <c r="J236" s="48" t="s">
        <v>17</v>
      </c>
      <c r="K236" s="6" t="s">
        <v>592</v>
      </c>
      <c r="L236" s="176">
        <f t="shared" si="3"/>
        <v>45542</v>
      </c>
      <c r="M236" s="179" t="s">
        <v>129</v>
      </c>
      <c r="N236" s="178" t="s">
        <v>574</v>
      </c>
      <c r="O236" s="165">
        <v>2024</v>
      </c>
    </row>
    <row r="237" spans="1:15">
      <c r="A237" s="74">
        <v>45542</v>
      </c>
      <c r="B237" s="18" t="s">
        <v>31</v>
      </c>
      <c r="C237" s="75">
        <v>3</v>
      </c>
      <c r="D237" s="32" t="s">
        <v>593</v>
      </c>
      <c r="E237" s="75">
        <v>49</v>
      </c>
      <c r="F237" s="18" t="s">
        <v>63</v>
      </c>
      <c r="G237" s="6" t="s">
        <v>594</v>
      </c>
      <c r="H237" s="6" t="s">
        <v>539</v>
      </c>
      <c r="I237" s="49" t="s">
        <v>16</v>
      </c>
      <c r="J237" s="48" t="s">
        <v>17</v>
      </c>
      <c r="K237" s="6" t="s">
        <v>539</v>
      </c>
      <c r="L237" s="176">
        <f t="shared" si="3"/>
        <v>45542</v>
      </c>
      <c r="M237" s="179" t="s">
        <v>129</v>
      </c>
      <c r="N237" s="178" t="s">
        <v>574</v>
      </c>
      <c r="O237" s="165">
        <v>2024</v>
      </c>
    </row>
    <row r="238" spans="1:15">
      <c r="A238" s="74">
        <v>45542</v>
      </c>
      <c r="B238" s="18" t="s">
        <v>31</v>
      </c>
      <c r="C238" s="75">
        <v>3</v>
      </c>
      <c r="D238" s="32" t="s">
        <v>595</v>
      </c>
      <c r="E238" s="75">
        <v>12</v>
      </c>
      <c r="F238" s="18" t="s">
        <v>63</v>
      </c>
      <c r="G238" s="6" t="s">
        <v>594</v>
      </c>
      <c r="H238" s="32" t="s">
        <v>596</v>
      </c>
      <c r="I238" s="49" t="s">
        <v>16</v>
      </c>
      <c r="J238" s="48" t="s">
        <v>17</v>
      </c>
      <c r="K238" s="6" t="s">
        <v>597</v>
      </c>
      <c r="L238" s="176">
        <f t="shared" si="3"/>
        <v>45542</v>
      </c>
      <c r="M238" s="179" t="s">
        <v>129</v>
      </c>
      <c r="N238" s="178" t="s">
        <v>574</v>
      </c>
      <c r="O238" s="165">
        <v>2024</v>
      </c>
    </row>
    <row r="239" spans="1:15">
      <c r="A239" s="74">
        <v>45542</v>
      </c>
      <c r="B239" s="21" t="s">
        <v>31</v>
      </c>
      <c r="C239" s="80">
        <v>3</v>
      </c>
      <c r="D239" s="39" t="s">
        <v>598</v>
      </c>
      <c r="E239" s="80">
        <v>80</v>
      </c>
      <c r="F239" s="21" t="s">
        <v>68</v>
      </c>
      <c r="G239" s="8" t="s">
        <v>69</v>
      </c>
      <c r="H239" s="8" t="s">
        <v>70</v>
      </c>
      <c r="I239" s="53" t="s">
        <v>16</v>
      </c>
      <c r="J239" s="55" t="s">
        <v>17</v>
      </c>
      <c r="K239" s="8" t="s">
        <v>70</v>
      </c>
      <c r="L239" s="176">
        <f t="shared" si="3"/>
        <v>45542</v>
      </c>
      <c r="M239" s="179" t="s">
        <v>129</v>
      </c>
      <c r="N239" s="178" t="s">
        <v>574</v>
      </c>
      <c r="O239" s="165">
        <v>2024</v>
      </c>
    </row>
    <row r="240" spans="1:15">
      <c r="A240" s="74">
        <v>45542</v>
      </c>
      <c r="B240" s="18" t="s">
        <v>31</v>
      </c>
      <c r="C240" s="75">
        <v>3</v>
      </c>
      <c r="D240" s="32" t="s">
        <v>599</v>
      </c>
      <c r="E240" s="75">
        <v>70</v>
      </c>
      <c r="F240" s="18" t="s">
        <v>600</v>
      </c>
      <c r="G240" s="6" t="s">
        <v>601</v>
      </c>
      <c r="H240" s="6" t="s">
        <v>602</v>
      </c>
      <c r="I240" s="49" t="s">
        <v>16</v>
      </c>
      <c r="J240" s="48" t="s">
        <v>17</v>
      </c>
      <c r="K240" s="6" t="s">
        <v>602</v>
      </c>
      <c r="L240" s="176">
        <f t="shared" si="3"/>
        <v>45542</v>
      </c>
      <c r="M240" s="179" t="s">
        <v>129</v>
      </c>
      <c r="N240" s="178" t="s">
        <v>574</v>
      </c>
      <c r="O240" s="165">
        <v>2024</v>
      </c>
    </row>
    <row r="241" spans="1:15">
      <c r="A241" s="74">
        <v>45542</v>
      </c>
      <c r="B241" s="20" t="s">
        <v>31</v>
      </c>
      <c r="C241" s="77">
        <v>3</v>
      </c>
      <c r="D241" s="35" t="s">
        <v>603</v>
      </c>
      <c r="E241" s="77">
        <v>41</v>
      </c>
      <c r="F241" s="20" t="s">
        <v>604</v>
      </c>
      <c r="G241" s="7" t="s">
        <v>605</v>
      </c>
      <c r="H241" s="7" t="s">
        <v>602</v>
      </c>
      <c r="I241" s="51" t="s">
        <v>16</v>
      </c>
      <c r="J241" s="50" t="s">
        <v>17</v>
      </c>
      <c r="K241" s="7" t="s">
        <v>602</v>
      </c>
      <c r="L241" s="176">
        <f t="shared" si="3"/>
        <v>45542</v>
      </c>
      <c r="M241" s="179" t="s">
        <v>129</v>
      </c>
      <c r="N241" s="178" t="s">
        <v>574</v>
      </c>
      <c r="O241" s="165">
        <v>2024</v>
      </c>
    </row>
    <row r="242" ht="61.2" spans="1:15">
      <c r="A242" s="74">
        <v>45542</v>
      </c>
      <c r="B242" s="21" t="s">
        <v>80</v>
      </c>
      <c r="C242" s="80">
        <v>2</v>
      </c>
      <c r="D242" s="39" t="s">
        <v>606</v>
      </c>
      <c r="E242" s="80">
        <v>163</v>
      </c>
      <c r="F242" s="21" t="s">
        <v>33</v>
      </c>
      <c r="G242" s="8" t="s">
        <v>607</v>
      </c>
      <c r="H242" s="39" t="s">
        <v>572</v>
      </c>
      <c r="I242" s="53" t="s">
        <v>16</v>
      </c>
      <c r="J242" s="55" t="s">
        <v>36</v>
      </c>
      <c r="K242" s="8" t="s">
        <v>608</v>
      </c>
      <c r="L242" s="176">
        <f t="shared" si="3"/>
        <v>45542</v>
      </c>
      <c r="M242" s="179" t="s">
        <v>129</v>
      </c>
      <c r="N242" s="178" t="s">
        <v>574</v>
      </c>
      <c r="O242" s="165">
        <v>2024</v>
      </c>
    </row>
    <row r="243" ht="61.2" spans="1:15">
      <c r="A243" s="74">
        <v>45542</v>
      </c>
      <c r="B243" s="18" t="s">
        <v>80</v>
      </c>
      <c r="C243" s="75">
        <v>2</v>
      </c>
      <c r="D243" s="32" t="s">
        <v>609</v>
      </c>
      <c r="E243" s="75">
        <v>359</v>
      </c>
      <c r="F243" s="18" t="s">
        <v>44</v>
      </c>
      <c r="G243" s="6" t="s">
        <v>610</v>
      </c>
      <c r="H243" s="32" t="s">
        <v>109</v>
      </c>
      <c r="I243" s="49" t="s">
        <v>16</v>
      </c>
      <c r="J243" s="48" t="s">
        <v>36</v>
      </c>
      <c r="K243" s="6" t="s">
        <v>611</v>
      </c>
      <c r="L243" s="176">
        <f t="shared" si="3"/>
        <v>45542</v>
      </c>
      <c r="M243" s="179" t="s">
        <v>129</v>
      </c>
      <c r="N243" s="178" t="s">
        <v>574</v>
      </c>
      <c r="O243" s="165">
        <v>2024</v>
      </c>
    </row>
    <row r="244" spans="1:15">
      <c r="A244" s="74">
        <v>45542</v>
      </c>
      <c r="B244" s="18" t="s">
        <v>87</v>
      </c>
      <c r="C244" s="75">
        <v>3</v>
      </c>
      <c r="D244" s="32" t="s">
        <v>612</v>
      </c>
      <c r="E244" s="75">
        <v>49</v>
      </c>
      <c r="F244" s="18" t="s">
        <v>13</v>
      </c>
      <c r="G244" s="6" t="s">
        <v>613</v>
      </c>
      <c r="H244" s="6" t="s">
        <v>390</v>
      </c>
      <c r="I244" s="49" t="s">
        <v>16</v>
      </c>
      <c r="J244" s="48" t="s">
        <v>17</v>
      </c>
      <c r="K244" s="6" t="s">
        <v>390</v>
      </c>
      <c r="L244" s="176">
        <f t="shared" si="3"/>
        <v>45542</v>
      </c>
      <c r="M244" s="179" t="s">
        <v>129</v>
      </c>
      <c r="N244" s="178" t="s">
        <v>574</v>
      </c>
      <c r="O244" s="165">
        <v>2024</v>
      </c>
    </row>
    <row r="245" ht="40.8" spans="1:15">
      <c r="A245" s="74">
        <v>45542</v>
      </c>
      <c r="B245" s="18" t="s">
        <v>87</v>
      </c>
      <c r="C245" s="75">
        <v>3</v>
      </c>
      <c r="D245" s="32" t="s">
        <v>614</v>
      </c>
      <c r="E245" s="75">
        <v>13</v>
      </c>
      <c r="F245" s="18" t="s">
        <v>13</v>
      </c>
      <c r="G245" s="6" t="s">
        <v>613</v>
      </c>
      <c r="H245" s="32" t="s">
        <v>615</v>
      </c>
      <c r="I245" s="49" t="s">
        <v>16</v>
      </c>
      <c r="J245" s="48" t="s">
        <v>17</v>
      </c>
      <c r="K245" s="6" t="s">
        <v>616</v>
      </c>
      <c r="L245" s="176">
        <f t="shared" si="3"/>
        <v>45542</v>
      </c>
      <c r="M245" s="179" t="s">
        <v>129</v>
      </c>
      <c r="N245" s="178" t="s">
        <v>574</v>
      </c>
      <c r="O245" s="165">
        <v>2024</v>
      </c>
    </row>
    <row r="246" spans="1:15">
      <c r="A246" s="74">
        <v>45542</v>
      </c>
      <c r="B246" s="18" t="s">
        <v>87</v>
      </c>
      <c r="C246" s="75">
        <v>3</v>
      </c>
      <c r="D246" s="32" t="s">
        <v>617</v>
      </c>
      <c r="E246" s="75">
        <v>45</v>
      </c>
      <c r="F246" s="18" t="s">
        <v>49</v>
      </c>
      <c r="G246" s="6" t="s">
        <v>618</v>
      </c>
      <c r="H246" s="6" t="s">
        <v>193</v>
      </c>
      <c r="I246" s="49" t="s">
        <v>16</v>
      </c>
      <c r="J246" s="48" t="s">
        <v>17</v>
      </c>
      <c r="K246" s="6" t="s">
        <v>193</v>
      </c>
      <c r="L246" s="176">
        <f t="shared" si="3"/>
        <v>45542</v>
      </c>
      <c r="M246" s="179" t="s">
        <v>129</v>
      </c>
      <c r="N246" s="178" t="s">
        <v>574</v>
      </c>
      <c r="O246" s="165">
        <v>2024</v>
      </c>
    </row>
    <row r="247" spans="1:15">
      <c r="A247" s="74">
        <v>45542</v>
      </c>
      <c r="B247" s="18" t="s">
        <v>87</v>
      </c>
      <c r="C247" s="75">
        <v>3</v>
      </c>
      <c r="D247" s="32" t="s">
        <v>619</v>
      </c>
      <c r="E247" s="75">
        <v>7</v>
      </c>
      <c r="F247" s="18" t="s">
        <v>53</v>
      </c>
      <c r="G247" s="6" t="s">
        <v>620</v>
      </c>
      <c r="H247" s="6" t="s">
        <v>165</v>
      </c>
      <c r="I247" s="49" t="s">
        <v>16</v>
      </c>
      <c r="J247" s="48" t="s">
        <v>17</v>
      </c>
      <c r="K247" s="6" t="s">
        <v>165</v>
      </c>
      <c r="L247" s="176">
        <f t="shared" si="3"/>
        <v>45542</v>
      </c>
      <c r="M247" s="179" t="s">
        <v>129</v>
      </c>
      <c r="N247" s="178" t="s">
        <v>574</v>
      </c>
      <c r="O247" s="165">
        <v>2024</v>
      </c>
    </row>
    <row r="248" spans="1:15">
      <c r="A248" s="74">
        <v>45542</v>
      </c>
      <c r="B248" s="18" t="s">
        <v>87</v>
      </c>
      <c r="C248" s="75">
        <v>3</v>
      </c>
      <c r="D248" s="32" t="s">
        <v>621</v>
      </c>
      <c r="E248" s="75">
        <v>22</v>
      </c>
      <c r="F248" s="18" t="s">
        <v>53</v>
      </c>
      <c r="G248" s="6" t="s">
        <v>620</v>
      </c>
      <c r="H248" s="6" t="s">
        <v>165</v>
      </c>
      <c r="I248" s="49" t="s">
        <v>16</v>
      </c>
      <c r="J248" s="48" t="s">
        <v>17</v>
      </c>
      <c r="K248" s="6" t="s">
        <v>165</v>
      </c>
      <c r="L248" s="176">
        <f t="shared" si="3"/>
        <v>45542</v>
      </c>
      <c r="M248" s="179" t="s">
        <v>129</v>
      </c>
      <c r="N248" s="178" t="s">
        <v>574</v>
      </c>
      <c r="O248" s="165">
        <v>2024</v>
      </c>
    </row>
    <row r="249" spans="1:15">
      <c r="A249" s="74">
        <v>45542</v>
      </c>
      <c r="B249" s="18" t="s">
        <v>87</v>
      </c>
      <c r="C249" s="75">
        <v>3</v>
      </c>
      <c r="D249" s="32" t="s">
        <v>599</v>
      </c>
      <c r="E249" s="75">
        <v>70</v>
      </c>
      <c r="F249" s="18" t="s">
        <v>600</v>
      </c>
      <c r="G249" s="6" t="s">
        <v>622</v>
      </c>
      <c r="H249" s="6" t="s">
        <v>602</v>
      </c>
      <c r="I249" s="49" t="s">
        <v>115</v>
      </c>
      <c r="J249" s="48" t="s">
        <v>17</v>
      </c>
      <c r="K249" s="6" t="s">
        <v>602</v>
      </c>
      <c r="L249" s="176">
        <f t="shared" si="3"/>
        <v>45542</v>
      </c>
      <c r="M249" s="179" t="s">
        <v>129</v>
      </c>
      <c r="N249" s="178" t="s">
        <v>574</v>
      </c>
      <c r="O249" s="165">
        <v>2024</v>
      </c>
    </row>
    <row r="250" spans="1:15">
      <c r="A250" s="74">
        <v>45542</v>
      </c>
      <c r="B250" s="18" t="s">
        <v>87</v>
      </c>
      <c r="C250" s="75">
        <v>3</v>
      </c>
      <c r="D250" s="32" t="s">
        <v>603</v>
      </c>
      <c r="E250" s="75">
        <v>41</v>
      </c>
      <c r="F250" s="18" t="s">
        <v>604</v>
      </c>
      <c r="G250" s="6" t="s">
        <v>623</v>
      </c>
      <c r="H250" s="6" t="s">
        <v>602</v>
      </c>
      <c r="I250" s="49" t="s">
        <v>115</v>
      </c>
      <c r="J250" s="48" t="s">
        <v>17</v>
      </c>
      <c r="K250" s="6" t="s">
        <v>602</v>
      </c>
      <c r="L250" s="176">
        <f t="shared" si="3"/>
        <v>45542</v>
      </c>
      <c r="M250" s="179" t="s">
        <v>129</v>
      </c>
      <c r="N250" s="178" t="s">
        <v>574</v>
      </c>
      <c r="O250" s="165">
        <v>2024</v>
      </c>
    </row>
    <row r="251" spans="1:15">
      <c r="A251" s="74">
        <v>45542</v>
      </c>
      <c r="B251" s="18" t="s">
        <v>87</v>
      </c>
      <c r="C251" s="75">
        <v>3</v>
      </c>
      <c r="D251" s="32" t="s">
        <v>624</v>
      </c>
      <c r="E251" s="75">
        <v>29</v>
      </c>
      <c r="F251" s="18" t="s">
        <v>77</v>
      </c>
      <c r="G251" s="6" t="s">
        <v>625</v>
      </c>
      <c r="H251" s="6" t="s">
        <v>240</v>
      </c>
      <c r="I251" s="49" t="s">
        <v>16</v>
      </c>
      <c r="J251" s="48" t="s">
        <v>17</v>
      </c>
      <c r="K251" s="6" t="s">
        <v>240</v>
      </c>
      <c r="L251" s="176">
        <f t="shared" si="3"/>
        <v>45542</v>
      </c>
      <c r="M251" s="179" t="s">
        <v>129</v>
      </c>
      <c r="N251" s="178" t="s">
        <v>574</v>
      </c>
      <c r="O251" s="165">
        <v>2024</v>
      </c>
    </row>
    <row r="252" spans="1:15">
      <c r="A252" s="74">
        <v>45542</v>
      </c>
      <c r="B252" s="18" t="s">
        <v>87</v>
      </c>
      <c r="C252" s="75">
        <v>3</v>
      </c>
      <c r="D252" s="32" t="s">
        <v>626</v>
      </c>
      <c r="E252" s="75">
        <v>6</v>
      </c>
      <c r="F252" s="18" t="s">
        <v>77</v>
      </c>
      <c r="G252" s="6" t="s">
        <v>625</v>
      </c>
      <c r="H252" s="6" t="s">
        <v>240</v>
      </c>
      <c r="I252" s="49" t="s">
        <v>16</v>
      </c>
      <c r="J252" s="48" t="s">
        <v>17</v>
      </c>
      <c r="K252" s="6" t="s">
        <v>240</v>
      </c>
      <c r="L252" s="176">
        <f t="shared" si="3"/>
        <v>45542</v>
      </c>
      <c r="M252" s="179" t="s">
        <v>129</v>
      </c>
      <c r="N252" s="178" t="s">
        <v>574</v>
      </c>
      <c r="O252" s="165">
        <v>2024</v>
      </c>
    </row>
    <row r="253" spans="1:15">
      <c r="A253" s="74">
        <v>45542</v>
      </c>
      <c r="B253" s="18" t="s">
        <v>87</v>
      </c>
      <c r="C253" s="75">
        <v>3</v>
      </c>
      <c r="D253" s="32" t="s">
        <v>627</v>
      </c>
      <c r="E253" s="75">
        <v>50</v>
      </c>
      <c r="F253" s="18" t="s">
        <v>77</v>
      </c>
      <c r="G253" s="6" t="s">
        <v>625</v>
      </c>
      <c r="H253" s="6" t="s">
        <v>240</v>
      </c>
      <c r="I253" s="49" t="s">
        <v>16</v>
      </c>
      <c r="J253" s="48" t="s">
        <v>17</v>
      </c>
      <c r="K253" s="6" t="s">
        <v>240</v>
      </c>
      <c r="L253" s="176">
        <f t="shared" si="3"/>
        <v>45542</v>
      </c>
      <c r="M253" s="179" t="s">
        <v>129</v>
      </c>
      <c r="N253" s="178" t="s">
        <v>574</v>
      </c>
      <c r="O253" s="165">
        <v>2024</v>
      </c>
    </row>
    <row r="254" spans="1:15">
      <c r="A254" s="74">
        <v>45542</v>
      </c>
      <c r="B254" s="18" t="s">
        <v>87</v>
      </c>
      <c r="C254" s="75">
        <v>3</v>
      </c>
      <c r="D254" s="32" t="s">
        <v>628</v>
      </c>
      <c r="E254" s="75">
        <v>45</v>
      </c>
      <c r="F254" s="18" t="s">
        <v>63</v>
      </c>
      <c r="G254" s="6" t="s">
        <v>629</v>
      </c>
      <c r="H254" s="6" t="s">
        <v>630</v>
      </c>
      <c r="I254" s="49" t="s">
        <v>16</v>
      </c>
      <c r="J254" s="48" t="s">
        <v>17</v>
      </c>
      <c r="K254" s="6" t="s">
        <v>630</v>
      </c>
      <c r="L254" s="176">
        <f t="shared" si="3"/>
        <v>45542</v>
      </c>
      <c r="M254" s="179" t="s">
        <v>129</v>
      </c>
      <c r="N254" s="178" t="s">
        <v>574</v>
      </c>
      <c r="O254" s="165">
        <v>2024</v>
      </c>
    </row>
    <row r="255" spans="1:15">
      <c r="A255" s="88">
        <v>45542</v>
      </c>
      <c r="B255" s="22" t="s">
        <v>87</v>
      </c>
      <c r="C255" s="81">
        <v>3</v>
      </c>
      <c r="D255" s="41" t="s">
        <v>631</v>
      </c>
      <c r="E255" s="81">
        <v>5</v>
      </c>
      <c r="F255" s="22" t="s">
        <v>63</v>
      </c>
      <c r="G255" s="9" t="s">
        <v>629</v>
      </c>
      <c r="H255" s="9" t="s">
        <v>630</v>
      </c>
      <c r="I255" s="54" t="s">
        <v>16</v>
      </c>
      <c r="J255" s="62" t="s">
        <v>17</v>
      </c>
      <c r="K255" s="9" t="s">
        <v>630</v>
      </c>
      <c r="L255" s="176">
        <f t="shared" si="3"/>
        <v>45542</v>
      </c>
      <c r="M255" s="181" t="s">
        <v>129</v>
      </c>
      <c r="N255" s="178" t="s">
        <v>574</v>
      </c>
      <c r="O255" s="165">
        <v>2024</v>
      </c>
    </row>
    <row r="256" spans="1:15">
      <c r="A256" s="78">
        <v>45542</v>
      </c>
      <c r="B256" s="20" t="s">
        <v>312</v>
      </c>
      <c r="C256" s="77">
        <v>4</v>
      </c>
      <c r="D256" s="35" t="s">
        <v>598</v>
      </c>
      <c r="E256" s="77">
        <v>80</v>
      </c>
      <c r="F256" s="20" t="s">
        <v>68</v>
      </c>
      <c r="G256" s="7" t="s">
        <v>69</v>
      </c>
      <c r="H256" s="7" t="s">
        <v>70</v>
      </c>
      <c r="I256" s="51" t="s">
        <v>115</v>
      </c>
      <c r="J256" s="50" t="s">
        <v>17</v>
      </c>
      <c r="K256" s="7" t="s">
        <v>70</v>
      </c>
      <c r="L256" s="176">
        <f t="shared" si="3"/>
        <v>45542</v>
      </c>
      <c r="M256" s="23" t="s">
        <v>129</v>
      </c>
      <c r="N256" s="178" t="s">
        <v>574</v>
      </c>
      <c r="O256" s="165">
        <v>2024</v>
      </c>
    </row>
    <row r="257" ht="40.8" spans="1:15">
      <c r="A257" s="79">
        <v>45543</v>
      </c>
      <c r="B257" s="21" t="s">
        <v>11</v>
      </c>
      <c r="C257" s="80">
        <v>2</v>
      </c>
      <c r="D257" s="39" t="s">
        <v>632</v>
      </c>
      <c r="E257" s="80">
        <v>29</v>
      </c>
      <c r="F257" s="21" t="s">
        <v>13</v>
      </c>
      <c r="G257" s="8" t="s">
        <v>633</v>
      </c>
      <c r="H257" s="39" t="s">
        <v>65</v>
      </c>
      <c r="I257" s="53" t="s">
        <v>16</v>
      </c>
      <c r="J257" s="55" t="s">
        <v>17</v>
      </c>
      <c r="K257" s="8" t="s">
        <v>66</v>
      </c>
      <c r="L257" s="176">
        <f t="shared" si="3"/>
        <v>45543</v>
      </c>
      <c r="M257" s="180" t="s">
        <v>129</v>
      </c>
      <c r="N257" s="178" t="s">
        <v>18</v>
      </c>
      <c r="O257" s="165">
        <v>2024</v>
      </c>
    </row>
    <row r="258" spans="1:15">
      <c r="A258" s="74">
        <v>45543</v>
      </c>
      <c r="B258" s="18" t="s">
        <v>11</v>
      </c>
      <c r="C258" s="75">
        <v>2</v>
      </c>
      <c r="D258" s="32" t="s">
        <v>634</v>
      </c>
      <c r="E258" s="75">
        <v>12</v>
      </c>
      <c r="F258" s="18" t="s">
        <v>13</v>
      </c>
      <c r="G258" s="6" t="s">
        <v>633</v>
      </c>
      <c r="H258" s="32" t="s">
        <v>21</v>
      </c>
      <c r="I258" s="49" t="s">
        <v>16</v>
      </c>
      <c r="J258" s="48" t="s">
        <v>17</v>
      </c>
      <c r="K258" s="6" t="s">
        <v>635</v>
      </c>
      <c r="L258" s="176">
        <f t="shared" si="3"/>
        <v>45543</v>
      </c>
      <c r="M258" s="179" t="s">
        <v>129</v>
      </c>
      <c r="N258" s="178" t="s">
        <v>18</v>
      </c>
      <c r="O258" s="165">
        <v>2024</v>
      </c>
    </row>
    <row r="259" ht="40.8" spans="1:15">
      <c r="A259" s="74">
        <v>45543</v>
      </c>
      <c r="B259" s="18" t="s">
        <v>11</v>
      </c>
      <c r="C259" s="75">
        <v>2</v>
      </c>
      <c r="D259" s="32" t="s">
        <v>636</v>
      </c>
      <c r="E259" s="75">
        <v>12</v>
      </c>
      <c r="F259" s="18" t="s">
        <v>77</v>
      </c>
      <c r="G259" s="6" t="s">
        <v>637</v>
      </c>
      <c r="H259" s="32" t="s">
        <v>294</v>
      </c>
      <c r="I259" s="49" t="s">
        <v>16</v>
      </c>
      <c r="J259" s="48" t="s">
        <v>17</v>
      </c>
      <c r="K259" s="6" t="s">
        <v>638</v>
      </c>
      <c r="L259" s="176">
        <f t="shared" si="3"/>
        <v>45543</v>
      </c>
      <c r="M259" s="179" t="s">
        <v>129</v>
      </c>
      <c r="N259" s="178" t="s">
        <v>18</v>
      </c>
      <c r="O259" s="165">
        <v>2024</v>
      </c>
    </row>
    <row r="260" ht="40.8" spans="1:15">
      <c r="A260" s="74">
        <v>45543</v>
      </c>
      <c r="B260" s="18" t="s">
        <v>11</v>
      </c>
      <c r="C260" s="75">
        <v>2</v>
      </c>
      <c r="D260" s="32" t="s">
        <v>639</v>
      </c>
      <c r="E260" s="75">
        <v>76</v>
      </c>
      <c r="F260" s="18" t="s">
        <v>77</v>
      </c>
      <c r="G260" s="6" t="s">
        <v>637</v>
      </c>
      <c r="H260" s="32" t="s">
        <v>294</v>
      </c>
      <c r="I260" s="49" t="s">
        <v>16</v>
      </c>
      <c r="J260" s="48" t="s">
        <v>17</v>
      </c>
      <c r="K260" s="6" t="s">
        <v>638</v>
      </c>
      <c r="L260" s="176">
        <f t="shared" si="3"/>
        <v>45543</v>
      </c>
      <c r="M260" s="179" t="s">
        <v>129</v>
      </c>
      <c r="N260" s="178" t="s">
        <v>18</v>
      </c>
      <c r="O260" s="165">
        <v>2024</v>
      </c>
    </row>
    <row r="261" spans="1:15">
      <c r="A261" s="74">
        <v>45543</v>
      </c>
      <c r="B261" s="18" t="s">
        <v>11</v>
      </c>
      <c r="C261" s="75">
        <v>2</v>
      </c>
      <c r="D261" s="32" t="s">
        <v>640</v>
      </c>
      <c r="E261" s="75">
        <v>58</v>
      </c>
      <c r="F261" s="18" t="s">
        <v>49</v>
      </c>
      <c r="G261" s="6" t="s">
        <v>641</v>
      </c>
      <c r="H261" s="6" t="s">
        <v>231</v>
      </c>
      <c r="I261" s="49" t="s">
        <v>16</v>
      </c>
      <c r="J261" s="48" t="s">
        <v>17</v>
      </c>
      <c r="K261" s="6" t="s">
        <v>231</v>
      </c>
      <c r="L261" s="176">
        <f t="shared" ref="L261:L288" si="4">DATE(2024,M261,N261)</f>
        <v>45543</v>
      </c>
      <c r="M261" s="179" t="s">
        <v>129</v>
      </c>
      <c r="N261" s="178" t="s">
        <v>18</v>
      </c>
      <c r="O261" s="165">
        <v>2024</v>
      </c>
    </row>
    <row r="262" spans="1:15">
      <c r="A262" s="74">
        <v>45543</v>
      </c>
      <c r="B262" s="18" t="s">
        <v>11</v>
      </c>
      <c r="C262" s="75">
        <v>2</v>
      </c>
      <c r="D262" s="32" t="s">
        <v>642</v>
      </c>
      <c r="E262" s="75">
        <v>113</v>
      </c>
      <c r="F262" s="18" t="s">
        <v>33</v>
      </c>
      <c r="G262" s="6" t="s">
        <v>643</v>
      </c>
      <c r="H262" s="6" t="s">
        <v>453</v>
      </c>
      <c r="I262" s="49" t="s">
        <v>16</v>
      </c>
      <c r="J262" s="48" t="s">
        <v>36</v>
      </c>
      <c r="K262" s="6" t="s">
        <v>453</v>
      </c>
      <c r="L262" s="176">
        <f t="shared" si="4"/>
        <v>45543</v>
      </c>
      <c r="M262" s="179" t="s">
        <v>129</v>
      </c>
      <c r="N262" s="178" t="s">
        <v>18</v>
      </c>
      <c r="O262" s="165">
        <v>2024</v>
      </c>
    </row>
    <row r="263" spans="1:15">
      <c r="A263" s="74">
        <v>45543</v>
      </c>
      <c r="B263" s="18" t="s">
        <v>644</v>
      </c>
      <c r="C263" s="75">
        <v>1</v>
      </c>
      <c r="D263" s="32" t="s">
        <v>645</v>
      </c>
      <c r="E263" s="75">
        <v>113</v>
      </c>
      <c r="F263" s="18" t="s">
        <v>33</v>
      </c>
      <c r="G263" s="6" t="s">
        <v>643</v>
      </c>
      <c r="H263" s="6" t="s">
        <v>453</v>
      </c>
      <c r="I263" s="49" t="s">
        <v>16</v>
      </c>
      <c r="J263" s="48" t="s">
        <v>36</v>
      </c>
      <c r="K263" s="6" t="s">
        <v>453</v>
      </c>
      <c r="L263" s="176">
        <f t="shared" si="4"/>
        <v>45543</v>
      </c>
      <c r="M263" s="179" t="s">
        <v>129</v>
      </c>
      <c r="N263" s="178" t="s">
        <v>18</v>
      </c>
      <c r="O263" s="165">
        <v>2024</v>
      </c>
    </row>
    <row r="264" ht="40.8" spans="1:15">
      <c r="A264" s="74">
        <v>45543</v>
      </c>
      <c r="B264" s="18" t="s">
        <v>31</v>
      </c>
      <c r="C264" s="75">
        <v>3</v>
      </c>
      <c r="D264" s="32" t="s">
        <v>646</v>
      </c>
      <c r="E264" s="75">
        <v>173</v>
      </c>
      <c r="F264" s="18" t="s">
        <v>44</v>
      </c>
      <c r="G264" s="6" t="s">
        <v>647</v>
      </c>
      <c r="H264" s="32" t="s">
        <v>648</v>
      </c>
      <c r="I264" s="49" t="s">
        <v>16</v>
      </c>
      <c r="J264" s="48" t="s">
        <v>204</v>
      </c>
      <c r="K264" s="6" t="s">
        <v>649</v>
      </c>
      <c r="L264" s="176">
        <f t="shared" si="4"/>
        <v>45543</v>
      </c>
      <c r="M264" s="179" t="s">
        <v>129</v>
      </c>
      <c r="N264" s="178" t="s">
        <v>18</v>
      </c>
      <c r="O264" s="165">
        <v>2024</v>
      </c>
    </row>
    <row r="265" ht="40.8" spans="1:15">
      <c r="A265" s="74">
        <v>45543</v>
      </c>
      <c r="B265" s="18" t="s">
        <v>31</v>
      </c>
      <c r="C265" s="75">
        <v>3</v>
      </c>
      <c r="D265" s="32" t="s">
        <v>650</v>
      </c>
      <c r="E265" s="75">
        <v>143</v>
      </c>
      <c r="F265" s="18" t="s">
        <v>44</v>
      </c>
      <c r="G265" s="6" t="s">
        <v>647</v>
      </c>
      <c r="H265" s="32" t="s">
        <v>651</v>
      </c>
      <c r="I265" s="49" t="s">
        <v>16</v>
      </c>
      <c r="J265" s="48" t="s">
        <v>200</v>
      </c>
      <c r="K265" s="6" t="s">
        <v>652</v>
      </c>
      <c r="L265" s="176">
        <f t="shared" si="4"/>
        <v>45543</v>
      </c>
      <c r="M265" s="179" t="s">
        <v>129</v>
      </c>
      <c r="N265" s="178" t="s">
        <v>18</v>
      </c>
      <c r="O265" s="165">
        <v>2024</v>
      </c>
    </row>
    <row r="266" spans="1:15">
      <c r="A266" s="74">
        <v>45543</v>
      </c>
      <c r="B266" s="18" t="s">
        <v>31</v>
      </c>
      <c r="C266" s="75">
        <v>3</v>
      </c>
      <c r="D266" s="32" t="s">
        <v>646</v>
      </c>
      <c r="E266" s="75">
        <v>57</v>
      </c>
      <c r="F266" s="18" t="s">
        <v>73</v>
      </c>
      <c r="G266" s="6" t="s">
        <v>653</v>
      </c>
      <c r="H266" s="6" t="s">
        <v>654</v>
      </c>
      <c r="I266" s="49" t="s">
        <v>16</v>
      </c>
      <c r="J266" s="48" t="s">
        <v>36</v>
      </c>
      <c r="K266" s="6" t="s">
        <v>654</v>
      </c>
      <c r="L266" s="176">
        <f t="shared" si="4"/>
        <v>45543</v>
      </c>
      <c r="M266" s="179" t="s">
        <v>129</v>
      </c>
      <c r="N266" s="178" t="s">
        <v>18</v>
      </c>
      <c r="O266" s="165">
        <v>2024</v>
      </c>
    </row>
    <row r="267" spans="1:15">
      <c r="A267" s="74">
        <v>45543</v>
      </c>
      <c r="B267" s="18" t="s">
        <v>31</v>
      </c>
      <c r="C267" s="75">
        <v>3</v>
      </c>
      <c r="D267" s="32" t="s">
        <v>655</v>
      </c>
      <c r="E267" s="75">
        <v>53</v>
      </c>
      <c r="F267" s="18" t="s">
        <v>73</v>
      </c>
      <c r="G267" s="6" t="s">
        <v>653</v>
      </c>
      <c r="H267" s="6" t="s">
        <v>654</v>
      </c>
      <c r="I267" s="49" t="s">
        <v>16</v>
      </c>
      <c r="J267" s="48" t="s">
        <v>36</v>
      </c>
      <c r="K267" s="6" t="s">
        <v>654</v>
      </c>
      <c r="L267" s="176">
        <f t="shared" si="4"/>
        <v>45543</v>
      </c>
      <c r="M267" s="179" t="s">
        <v>129</v>
      </c>
      <c r="N267" s="178" t="s">
        <v>18</v>
      </c>
      <c r="O267" s="165">
        <v>2024</v>
      </c>
    </row>
    <row r="268" spans="1:15">
      <c r="A268" s="74">
        <v>45543</v>
      </c>
      <c r="B268" s="18" t="s">
        <v>31</v>
      </c>
      <c r="C268" s="75">
        <v>3</v>
      </c>
      <c r="D268" s="32" t="s">
        <v>656</v>
      </c>
      <c r="E268" s="75">
        <v>60</v>
      </c>
      <c r="F268" s="18" t="s">
        <v>53</v>
      </c>
      <c r="G268" s="6" t="s">
        <v>657</v>
      </c>
      <c r="H268" s="6" t="s">
        <v>651</v>
      </c>
      <c r="I268" s="49" t="s">
        <v>16</v>
      </c>
      <c r="J268" s="48" t="s">
        <v>17</v>
      </c>
      <c r="K268" s="6" t="s">
        <v>651</v>
      </c>
      <c r="L268" s="176">
        <f t="shared" si="4"/>
        <v>45543</v>
      </c>
      <c r="M268" s="179" t="s">
        <v>129</v>
      </c>
      <c r="N268" s="178" t="s">
        <v>18</v>
      </c>
      <c r="O268" s="165">
        <v>2024</v>
      </c>
    </row>
    <row r="269" spans="1:15">
      <c r="A269" s="74">
        <v>45543</v>
      </c>
      <c r="B269" s="18" t="s">
        <v>31</v>
      </c>
      <c r="C269" s="75">
        <v>3</v>
      </c>
      <c r="D269" s="32" t="s">
        <v>658</v>
      </c>
      <c r="E269" s="75">
        <v>3</v>
      </c>
      <c r="F269" s="18" t="s">
        <v>53</v>
      </c>
      <c r="G269" s="6" t="s">
        <v>657</v>
      </c>
      <c r="H269" s="6" t="s">
        <v>450</v>
      </c>
      <c r="I269" s="49" t="s">
        <v>16</v>
      </c>
      <c r="J269" s="48" t="s">
        <v>17</v>
      </c>
      <c r="K269" s="6" t="s">
        <v>450</v>
      </c>
      <c r="L269" s="176">
        <f t="shared" si="4"/>
        <v>45543</v>
      </c>
      <c r="M269" s="179" t="s">
        <v>129</v>
      </c>
      <c r="N269" s="178" t="s">
        <v>18</v>
      </c>
      <c r="O269" s="165">
        <v>2024</v>
      </c>
    </row>
    <row r="270" ht="40.8" spans="1:15">
      <c r="A270" s="74">
        <v>45543</v>
      </c>
      <c r="B270" s="18" t="s">
        <v>31</v>
      </c>
      <c r="C270" s="75">
        <v>3</v>
      </c>
      <c r="D270" s="32" t="s">
        <v>659</v>
      </c>
      <c r="E270" s="75">
        <v>36</v>
      </c>
      <c r="F270" s="18" t="s">
        <v>39</v>
      </c>
      <c r="G270" s="6" t="s">
        <v>660</v>
      </c>
      <c r="H270" s="32" t="s">
        <v>661</v>
      </c>
      <c r="I270" s="49" t="s">
        <v>16</v>
      </c>
      <c r="J270" s="48" t="s">
        <v>662</v>
      </c>
      <c r="K270" s="6" t="s">
        <v>663</v>
      </c>
      <c r="L270" s="176">
        <f t="shared" si="4"/>
        <v>45543</v>
      </c>
      <c r="M270" s="179" t="s">
        <v>129</v>
      </c>
      <c r="N270" s="178" t="s">
        <v>18</v>
      </c>
      <c r="O270" s="165">
        <v>2024</v>
      </c>
    </row>
    <row r="271" ht="81.6" spans="1:15">
      <c r="A271" s="74">
        <v>45543</v>
      </c>
      <c r="B271" s="18" t="s">
        <v>31</v>
      </c>
      <c r="C271" s="75">
        <v>3</v>
      </c>
      <c r="D271" s="32" t="s">
        <v>664</v>
      </c>
      <c r="E271" s="75">
        <v>174</v>
      </c>
      <c r="F271" s="18" t="s">
        <v>39</v>
      </c>
      <c r="G271" s="6" t="s">
        <v>660</v>
      </c>
      <c r="H271" s="32" t="s">
        <v>360</v>
      </c>
      <c r="I271" s="49" t="s">
        <v>16</v>
      </c>
      <c r="J271" s="48" t="s">
        <v>665</v>
      </c>
      <c r="K271" s="6" t="s">
        <v>361</v>
      </c>
      <c r="L271" s="176">
        <f t="shared" si="4"/>
        <v>45543</v>
      </c>
      <c r="M271" s="179" t="s">
        <v>129</v>
      </c>
      <c r="N271" s="178" t="s">
        <v>18</v>
      </c>
      <c r="O271" s="165">
        <v>2024</v>
      </c>
    </row>
    <row r="272" spans="1:15">
      <c r="A272" s="74">
        <v>45543</v>
      </c>
      <c r="B272" s="18" t="s">
        <v>31</v>
      </c>
      <c r="C272" s="75">
        <v>3</v>
      </c>
      <c r="D272" s="32" t="s">
        <v>666</v>
      </c>
      <c r="E272" s="75">
        <v>13</v>
      </c>
      <c r="F272" s="18" t="s">
        <v>266</v>
      </c>
      <c r="G272" s="6" t="s">
        <v>667</v>
      </c>
      <c r="H272" s="6" t="s">
        <v>271</v>
      </c>
      <c r="I272" s="49" t="s">
        <v>16</v>
      </c>
      <c r="J272" s="48" t="s">
        <v>17</v>
      </c>
      <c r="K272" s="6" t="s">
        <v>271</v>
      </c>
      <c r="L272" s="176">
        <f t="shared" si="4"/>
        <v>45543</v>
      </c>
      <c r="M272" s="179" t="s">
        <v>129</v>
      </c>
      <c r="N272" s="178" t="s">
        <v>18</v>
      </c>
      <c r="O272" s="165">
        <v>2024</v>
      </c>
    </row>
    <row r="273" spans="1:15">
      <c r="A273" s="74">
        <v>45543</v>
      </c>
      <c r="B273" s="18" t="s">
        <v>31</v>
      </c>
      <c r="C273" s="75">
        <v>3</v>
      </c>
      <c r="D273" s="32" t="s">
        <v>668</v>
      </c>
      <c r="E273" s="75">
        <v>14</v>
      </c>
      <c r="F273" s="18" t="s">
        <v>266</v>
      </c>
      <c r="G273" s="6" t="s">
        <v>667</v>
      </c>
      <c r="H273" s="6" t="s">
        <v>271</v>
      </c>
      <c r="I273" s="49" t="s">
        <v>16</v>
      </c>
      <c r="J273" s="48" t="s">
        <v>17</v>
      </c>
      <c r="K273" s="6" t="s">
        <v>271</v>
      </c>
      <c r="L273" s="176">
        <f t="shared" si="4"/>
        <v>45543</v>
      </c>
      <c r="M273" s="179" t="s">
        <v>129</v>
      </c>
      <c r="N273" s="178" t="s">
        <v>18</v>
      </c>
      <c r="O273" s="165">
        <v>2024</v>
      </c>
    </row>
    <row r="274" spans="1:15">
      <c r="A274" s="74">
        <v>45543</v>
      </c>
      <c r="B274" s="18" t="s">
        <v>31</v>
      </c>
      <c r="C274" s="75">
        <v>3</v>
      </c>
      <c r="D274" s="32" t="s">
        <v>669</v>
      </c>
      <c r="E274" s="75">
        <v>2</v>
      </c>
      <c r="F274" s="18" t="s">
        <v>266</v>
      </c>
      <c r="G274" s="6" t="s">
        <v>667</v>
      </c>
      <c r="H274" s="6" t="s">
        <v>271</v>
      </c>
      <c r="I274" s="49" t="s">
        <v>16</v>
      </c>
      <c r="J274" s="48" t="s">
        <v>17</v>
      </c>
      <c r="K274" s="6" t="s">
        <v>271</v>
      </c>
      <c r="L274" s="176">
        <f t="shared" si="4"/>
        <v>45543</v>
      </c>
      <c r="M274" s="179" t="s">
        <v>129</v>
      </c>
      <c r="N274" s="178" t="s">
        <v>18</v>
      </c>
      <c r="O274" s="165">
        <v>2024</v>
      </c>
    </row>
    <row r="275" spans="1:15">
      <c r="A275" s="74">
        <v>45543</v>
      </c>
      <c r="B275" s="20" t="s">
        <v>31</v>
      </c>
      <c r="C275" s="77">
        <v>3</v>
      </c>
      <c r="D275" s="35" t="s">
        <v>670</v>
      </c>
      <c r="E275" s="77">
        <v>1</v>
      </c>
      <c r="F275" s="20" t="s">
        <v>266</v>
      </c>
      <c r="G275" s="7" t="s">
        <v>667</v>
      </c>
      <c r="H275" s="7" t="s">
        <v>271</v>
      </c>
      <c r="I275" s="51" t="s">
        <v>16</v>
      </c>
      <c r="J275" s="50" t="s">
        <v>17</v>
      </c>
      <c r="K275" s="7" t="s">
        <v>271</v>
      </c>
      <c r="L275" s="176">
        <f t="shared" si="4"/>
        <v>45543</v>
      </c>
      <c r="M275" s="179" t="s">
        <v>129</v>
      </c>
      <c r="N275" s="178" t="s">
        <v>18</v>
      </c>
      <c r="O275" s="165">
        <v>2024</v>
      </c>
    </row>
    <row r="276" ht="40.8" spans="1:15">
      <c r="A276" s="74">
        <v>45543</v>
      </c>
      <c r="B276" s="21" t="s">
        <v>80</v>
      </c>
      <c r="C276" s="80">
        <v>2</v>
      </c>
      <c r="D276" s="39" t="s">
        <v>671</v>
      </c>
      <c r="E276" s="80">
        <v>378</v>
      </c>
      <c r="F276" s="21" t="s">
        <v>44</v>
      </c>
      <c r="G276" s="8" t="s">
        <v>672</v>
      </c>
      <c r="H276" s="39" t="s">
        <v>673</v>
      </c>
      <c r="I276" s="53" t="s">
        <v>16</v>
      </c>
      <c r="J276" s="55" t="s">
        <v>36</v>
      </c>
      <c r="K276" s="8" t="s">
        <v>674</v>
      </c>
      <c r="L276" s="176">
        <f t="shared" si="4"/>
        <v>45543</v>
      </c>
      <c r="M276" s="179" t="s">
        <v>129</v>
      </c>
      <c r="N276" s="178" t="s">
        <v>18</v>
      </c>
      <c r="O276" s="165">
        <v>2024</v>
      </c>
    </row>
    <row r="277" ht="40.8" spans="1:15">
      <c r="A277" s="74">
        <v>45543</v>
      </c>
      <c r="B277" s="18" t="s">
        <v>80</v>
      </c>
      <c r="C277" s="75">
        <v>2</v>
      </c>
      <c r="D277" s="32" t="s">
        <v>675</v>
      </c>
      <c r="E277" s="75">
        <v>50</v>
      </c>
      <c r="F277" s="18" t="s">
        <v>13</v>
      </c>
      <c r="G277" s="6" t="s">
        <v>676</v>
      </c>
      <c r="H277" s="32" t="s">
        <v>294</v>
      </c>
      <c r="I277" s="49" t="s">
        <v>16</v>
      </c>
      <c r="J277" s="48" t="s">
        <v>17</v>
      </c>
      <c r="K277" s="6" t="s">
        <v>677</v>
      </c>
      <c r="L277" s="176">
        <f t="shared" si="4"/>
        <v>45543</v>
      </c>
      <c r="M277" s="179" t="s">
        <v>129</v>
      </c>
      <c r="N277" s="178" t="s">
        <v>18</v>
      </c>
      <c r="O277" s="165">
        <v>2024</v>
      </c>
    </row>
    <row r="278" spans="1:15">
      <c r="A278" s="74">
        <v>45543</v>
      </c>
      <c r="B278" s="18" t="s">
        <v>80</v>
      </c>
      <c r="C278" s="75">
        <v>2</v>
      </c>
      <c r="D278" s="32" t="s">
        <v>640</v>
      </c>
      <c r="E278" s="75">
        <v>58</v>
      </c>
      <c r="F278" s="18" t="s">
        <v>27</v>
      </c>
      <c r="G278" s="6" t="s">
        <v>678</v>
      </c>
      <c r="H278" s="6" t="s">
        <v>231</v>
      </c>
      <c r="I278" s="49" t="s">
        <v>115</v>
      </c>
      <c r="J278" s="48" t="s">
        <v>17</v>
      </c>
      <c r="K278" s="6" t="s">
        <v>231</v>
      </c>
      <c r="L278" s="176">
        <f t="shared" si="4"/>
        <v>45543</v>
      </c>
      <c r="M278" s="179" t="s">
        <v>129</v>
      </c>
      <c r="N278" s="178" t="s">
        <v>18</v>
      </c>
      <c r="O278" s="165">
        <v>2024</v>
      </c>
    </row>
    <row r="279" ht="40.8" spans="1:15">
      <c r="A279" s="74">
        <v>45543</v>
      </c>
      <c r="B279" s="18" t="s">
        <v>87</v>
      </c>
      <c r="C279" s="75">
        <v>3</v>
      </c>
      <c r="D279" s="32" t="s">
        <v>679</v>
      </c>
      <c r="E279" s="75">
        <v>14</v>
      </c>
      <c r="F279" s="18" t="s">
        <v>49</v>
      </c>
      <c r="G279" s="6" t="s">
        <v>680</v>
      </c>
      <c r="H279" s="32" t="s">
        <v>615</v>
      </c>
      <c r="I279" s="49" t="s">
        <v>16</v>
      </c>
      <c r="J279" s="48" t="s">
        <v>17</v>
      </c>
      <c r="K279" s="6" t="s">
        <v>616</v>
      </c>
      <c r="L279" s="176">
        <f t="shared" si="4"/>
        <v>45543</v>
      </c>
      <c r="M279" s="179" t="s">
        <v>129</v>
      </c>
      <c r="N279" s="178" t="s">
        <v>18</v>
      </c>
      <c r="O279" s="165">
        <v>2024</v>
      </c>
    </row>
    <row r="280" spans="1:15">
      <c r="A280" s="74">
        <v>45543</v>
      </c>
      <c r="B280" s="18" t="s">
        <v>87</v>
      </c>
      <c r="C280" s="75">
        <v>3</v>
      </c>
      <c r="D280" s="32" t="s">
        <v>681</v>
      </c>
      <c r="E280" s="75">
        <v>22</v>
      </c>
      <c r="F280" s="18" t="s">
        <v>49</v>
      </c>
      <c r="G280" s="6" t="s">
        <v>680</v>
      </c>
      <c r="H280" s="6" t="s">
        <v>309</v>
      </c>
      <c r="I280" s="49" t="s">
        <v>16</v>
      </c>
      <c r="J280" s="48" t="s">
        <v>17</v>
      </c>
      <c r="K280" s="6" t="s">
        <v>309</v>
      </c>
      <c r="L280" s="176">
        <f t="shared" si="4"/>
        <v>45543</v>
      </c>
      <c r="M280" s="179" t="s">
        <v>129</v>
      </c>
      <c r="N280" s="178" t="s">
        <v>18</v>
      </c>
      <c r="O280" s="165">
        <v>2024</v>
      </c>
    </row>
    <row r="281" spans="1:15">
      <c r="A281" s="74">
        <v>45543</v>
      </c>
      <c r="B281" s="18" t="s">
        <v>87</v>
      </c>
      <c r="C281" s="75">
        <v>3</v>
      </c>
      <c r="D281" s="32" t="s">
        <v>682</v>
      </c>
      <c r="E281" s="75">
        <v>12</v>
      </c>
      <c r="F281" s="18" t="s">
        <v>49</v>
      </c>
      <c r="G281" s="6" t="s">
        <v>680</v>
      </c>
      <c r="H281" s="32" t="s">
        <v>591</v>
      </c>
      <c r="I281" s="49" t="s">
        <v>16</v>
      </c>
      <c r="J281" s="48" t="s">
        <v>17</v>
      </c>
      <c r="K281" s="6" t="s">
        <v>683</v>
      </c>
      <c r="L281" s="176">
        <f t="shared" si="4"/>
        <v>45543</v>
      </c>
      <c r="M281" s="179" t="s">
        <v>129</v>
      </c>
      <c r="N281" s="178" t="s">
        <v>18</v>
      </c>
      <c r="O281" s="165">
        <v>2024</v>
      </c>
    </row>
    <row r="282" spans="1:15">
      <c r="A282" s="74">
        <v>45543</v>
      </c>
      <c r="B282" s="18" t="s">
        <v>87</v>
      </c>
      <c r="C282" s="75">
        <v>3</v>
      </c>
      <c r="D282" s="32" t="s">
        <v>684</v>
      </c>
      <c r="E282" s="75">
        <v>5</v>
      </c>
      <c r="F282" s="18" t="s">
        <v>685</v>
      </c>
      <c r="G282" s="6" t="s">
        <v>686</v>
      </c>
      <c r="H282" s="6" t="s">
        <v>234</v>
      </c>
      <c r="I282" s="49" t="s">
        <v>16</v>
      </c>
      <c r="J282" s="48" t="s">
        <v>17</v>
      </c>
      <c r="K282" s="6" t="s">
        <v>234</v>
      </c>
      <c r="L282" s="176">
        <f t="shared" si="4"/>
        <v>45543</v>
      </c>
      <c r="M282" s="179" t="s">
        <v>129</v>
      </c>
      <c r="N282" s="178" t="s">
        <v>18</v>
      </c>
      <c r="O282" s="165">
        <v>2024</v>
      </c>
    </row>
    <row r="283" ht="40.8" spans="1:15">
      <c r="A283" s="74">
        <v>45543</v>
      </c>
      <c r="B283" s="18" t="s">
        <v>87</v>
      </c>
      <c r="C283" s="75">
        <v>3</v>
      </c>
      <c r="D283" s="32" t="s">
        <v>687</v>
      </c>
      <c r="E283" s="75">
        <v>2</v>
      </c>
      <c r="F283" s="18" t="s">
        <v>77</v>
      </c>
      <c r="G283" s="6" t="s">
        <v>688</v>
      </c>
      <c r="H283" s="6" t="s">
        <v>689</v>
      </c>
      <c r="I283" s="49" t="s">
        <v>16</v>
      </c>
      <c r="J283" s="48" t="s">
        <v>17</v>
      </c>
      <c r="K283" s="6" t="s">
        <v>689</v>
      </c>
      <c r="L283" s="176">
        <f t="shared" si="4"/>
        <v>45543</v>
      </c>
      <c r="M283" s="179" t="s">
        <v>129</v>
      </c>
      <c r="N283" s="178" t="s">
        <v>18</v>
      </c>
      <c r="O283" s="165">
        <v>2024</v>
      </c>
    </row>
    <row r="284" ht="40.8" spans="1:15">
      <c r="A284" s="74">
        <v>45543</v>
      </c>
      <c r="B284" s="18" t="s">
        <v>87</v>
      </c>
      <c r="C284" s="75">
        <v>3</v>
      </c>
      <c r="D284" s="32" t="s">
        <v>690</v>
      </c>
      <c r="E284" s="75">
        <v>94</v>
      </c>
      <c r="F284" s="18" t="s">
        <v>77</v>
      </c>
      <c r="G284" s="6" t="s">
        <v>688</v>
      </c>
      <c r="H284" s="6" t="s">
        <v>691</v>
      </c>
      <c r="I284" s="49" t="s">
        <v>16</v>
      </c>
      <c r="J284" s="48" t="s">
        <v>17</v>
      </c>
      <c r="K284" s="6" t="s">
        <v>691</v>
      </c>
      <c r="L284" s="176">
        <f t="shared" si="4"/>
        <v>45543</v>
      </c>
      <c r="M284" s="179" t="s">
        <v>129</v>
      </c>
      <c r="N284" s="178" t="s">
        <v>18</v>
      </c>
      <c r="O284" s="165">
        <v>2024</v>
      </c>
    </row>
    <row r="285" spans="1:15">
      <c r="A285" s="74">
        <v>45543</v>
      </c>
      <c r="B285" s="18" t="s">
        <v>87</v>
      </c>
      <c r="C285" s="75">
        <v>3</v>
      </c>
      <c r="D285" s="32" t="s">
        <v>669</v>
      </c>
      <c r="E285" s="75">
        <v>2</v>
      </c>
      <c r="F285" s="18" t="s">
        <v>266</v>
      </c>
      <c r="G285" s="6" t="s">
        <v>667</v>
      </c>
      <c r="H285" s="6" t="s">
        <v>271</v>
      </c>
      <c r="I285" s="49" t="s">
        <v>16</v>
      </c>
      <c r="J285" s="48" t="s">
        <v>17</v>
      </c>
      <c r="K285" s="6" t="s">
        <v>271</v>
      </c>
      <c r="L285" s="176">
        <f t="shared" si="4"/>
        <v>45543</v>
      </c>
      <c r="M285" s="179" t="s">
        <v>129</v>
      </c>
      <c r="N285" s="178" t="s">
        <v>18</v>
      </c>
      <c r="O285" s="165">
        <v>2024</v>
      </c>
    </row>
    <row r="286" spans="1:15">
      <c r="A286" s="74">
        <v>45543</v>
      </c>
      <c r="B286" s="18" t="s">
        <v>87</v>
      </c>
      <c r="C286" s="75">
        <v>3</v>
      </c>
      <c r="D286" s="32" t="s">
        <v>666</v>
      </c>
      <c r="E286" s="75">
        <v>13</v>
      </c>
      <c r="F286" s="18" t="s">
        <v>266</v>
      </c>
      <c r="G286" s="6" t="s">
        <v>667</v>
      </c>
      <c r="H286" s="6" t="s">
        <v>271</v>
      </c>
      <c r="I286" s="49" t="s">
        <v>16</v>
      </c>
      <c r="J286" s="48" t="s">
        <v>17</v>
      </c>
      <c r="K286" s="6" t="s">
        <v>271</v>
      </c>
      <c r="L286" s="176">
        <f t="shared" si="4"/>
        <v>45543</v>
      </c>
      <c r="M286" s="179" t="s">
        <v>129</v>
      </c>
      <c r="N286" s="178" t="s">
        <v>18</v>
      </c>
      <c r="O286" s="165">
        <v>2024</v>
      </c>
    </row>
    <row r="287" spans="1:15">
      <c r="A287" s="74">
        <v>45543</v>
      </c>
      <c r="B287" s="18" t="s">
        <v>87</v>
      </c>
      <c r="C287" s="75">
        <v>3</v>
      </c>
      <c r="D287" s="32" t="s">
        <v>668</v>
      </c>
      <c r="E287" s="75">
        <v>14</v>
      </c>
      <c r="F287" s="18" t="s">
        <v>266</v>
      </c>
      <c r="G287" s="6" t="s">
        <v>667</v>
      </c>
      <c r="H287" s="6" t="s">
        <v>271</v>
      </c>
      <c r="I287" s="49" t="s">
        <v>16</v>
      </c>
      <c r="J287" s="48" t="s">
        <v>17</v>
      </c>
      <c r="K287" s="6" t="s">
        <v>271</v>
      </c>
      <c r="L287" s="176">
        <f t="shared" si="4"/>
        <v>45543</v>
      </c>
      <c r="M287" s="179" t="s">
        <v>129</v>
      </c>
      <c r="N287" s="178" t="s">
        <v>18</v>
      </c>
      <c r="O287" s="165">
        <v>2024</v>
      </c>
    </row>
    <row r="288" spans="1:15">
      <c r="A288" s="78">
        <v>45543</v>
      </c>
      <c r="B288" s="20" t="s">
        <v>87</v>
      </c>
      <c r="C288" s="77">
        <v>3</v>
      </c>
      <c r="D288" s="35" t="s">
        <v>670</v>
      </c>
      <c r="E288" s="77">
        <v>1</v>
      </c>
      <c r="F288" s="20" t="s">
        <v>266</v>
      </c>
      <c r="G288" s="7" t="s">
        <v>667</v>
      </c>
      <c r="H288" s="7" t="s">
        <v>271</v>
      </c>
      <c r="I288" s="51" t="s">
        <v>115</v>
      </c>
      <c r="J288" s="50" t="s">
        <v>17</v>
      </c>
      <c r="K288" s="7" t="s">
        <v>271</v>
      </c>
      <c r="L288" s="176">
        <f t="shared" si="4"/>
        <v>45543</v>
      </c>
      <c r="M288" s="23" t="s">
        <v>129</v>
      </c>
      <c r="N288" s="178" t="s">
        <v>18</v>
      </c>
      <c r="O288" s="165">
        <v>2024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2"/>
  <sheetViews>
    <sheetView zoomScale="70" zoomScaleNormal="70" topLeftCell="A190" workbookViewId="0">
      <selection activeCell="D217" sqref="D217"/>
    </sheetView>
  </sheetViews>
  <sheetFormatPr defaultColWidth="9" defaultRowHeight="20.4"/>
  <cols>
    <col min="1" max="1" width="17.6296296296296" style="148" customWidth="1"/>
    <col min="2" max="2" width="13.25" style="149" customWidth="1"/>
    <col min="3" max="3" width="10.25" style="149" customWidth="1"/>
    <col min="4" max="4" width="92" style="150" customWidth="1"/>
    <col min="5" max="5" width="42.6296296296296" style="149" customWidth="1"/>
    <col min="6" max="6" width="7" style="149" customWidth="1"/>
    <col min="7" max="7" width="10.25" style="149" customWidth="1"/>
    <col min="8" max="8" width="5.87962962962963" style="151" customWidth="1"/>
    <col min="9" max="9" width="19.6296296296296" style="149" customWidth="1"/>
    <col min="10" max="10" width="116.75" style="149" customWidth="1"/>
    <col min="11" max="11" width="4.87962962962963" style="149" customWidth="1"/>
    <col min="12" max="12" width="8.87962962962963" style="149" customWidth="1"/>
    <col min="13" max="13" width="10.25" style="149" customWidth="1"/>
    <col min="14" max="14" width="5.87962962962963" style="151" customWidth="1"/>
    <col min="15" max="17" width="9" style="149"/>
    <col min="18" max="18" width="10.75" style="149" customWidth="1"/>
    <col min="19" max="16384" width="9" style="149"/>
  </cols>
  <sheetData>
    <row r="1" ht="21" spans="1:14">
      <c r="A1" s="152" t="s">
        <v>692</v>
      </c>
      <c r="B1" s="153"/>
      <c r="C1" s="153"/>
      <c r="D1" s="153"/>
      <c r="E1" s="153"/>
      <c r="F1" s="153"/>
      <c r="G1" s="106"/>
      <c r="H1" s="103"/>
      <c r="I1" s="106"/>
      <c r="J1" s="106"/>
      <c r="K1" s="106"/>
      <c r="L1" s="106"/>
      <c r="M1" s="106"/>
      <c r="N1" s="103"/>
    </row>
    <row r="2" spans="1:14">
      <c r="A2" s="154" t="s">
        <v>2</v>
      </c>
      <c r="B2" s="99" t="s">
        <v>3</v>
      </c>
      <c r="C2" s="99" t="s">
        <v>693</v>
      </c>
      <c r="D2" s="99" t="s">
        <v>5</v>
      </c>
      <c r="E2" s="155" t="s">
        <v>9</v>
      </c>
      <c r="F2" s="99" t="s">
        <v>694</v>
      </c>
      <c r="G2" s="106" t="s">
        <v>695</v>
      </c>
      <c r="H2" s="103" t="s">
        <v>696</v>
      </c>
      <c r="I2" s="99" t="s">
        <v>697</v>
      </c>
      <c r="J2" s="99" t="s">
        <v>8</v>
      </c>
      <c r="K2" s="99" t="s">
        <v>698</v>
      </c>
      <c r="L2" s="99" t="s">
        <v>10</v>
      </c>
      <c r="M2" s="106" t="s">
        <v>695</v>
      </c>
      <c r="N2" s="103" t="s">
        <v>696</v>
      </c>
    </row>
    <row r="3" spans="1:18">
      <c r="A3" s="98">
        <v>45535</v>
      </c>
      <c r="B3" s="99" t="s">
        <v>11</v>
      </c>
      <c r="C3" s="99">
        <v>2</v>
      </c>
      <c r="D3" s="100" t="s">
        <v>699</v>
      </c>
      <c r="E3" s="101" t="s">
        <v>15</v>
      </c>
      <c r="F3" s="99">
        <v>28</v>
      </c>
      <c r="G3" s="99" t="s">
        <v>17</v>
      </c>
      <c r="H3" s="99" t="s">
        <v>700</v>
      </c>
      <c r="I3" s="104" t="s">
        <v>13</v>
      </c>
      <c r="J3" s="100" t="s">
        <v>14</v>
      </c>
      <c r="K3" s="99"/>
      <c r="L3" s="99" t="s">
        <v>17</v>
      </c>
      <c r="M3" s="99" t="s">
        <v>17</v>
      </c>
      <c r="N3" s="99" t="s">
        <v>700</v>
      </c>
      <c r="O3" s="156" t="s">
        <v>18</v>
      </c>
      <c r="P3" s="157" t="s">
        <v>19</v>
      </c>
      <c r="Q3" s="149">
        <v>2024</v>
      </c>
      <c r="R3" s="158">
        <f>DATE(2024,O3,P3)</f>
        <v>45535</v>
      </c>
    </row>
    <row r="4" spans="1:18">
      <c r="A4" s="98">
        <v>45535</v>
      </c>
      <c r="B4" s="99" t="s">
        <v>11</v>
      </c>
      <c r="C4" s="99">
        <v>2</v>
      </c>
      <c r="D4" s="100" t="s">
        <v>20</v>
      </c>
      <c r="E4" s="97" t="s">
        <v>21</v>
      </c>
      <c r="F4" s="99">
        <v>44</v>
      </c>
      <c r="G4" s="99" t="s">
        <v>17</v>
      </c>
      <c r="H4" s="99" t="s">
        <v>701</v>
      </c>
      <c r="I4" s="104" t="s">
        <v>13</v>
      </c>
      <c r="J4" s="100" t="s">
        <v>14</v>
      </c>
      <c r="K4" s="99"/>
      <c r="L4" s="99" t="s">
        <v>17</v>
      </c>
      <c r="M4" s="99" t="s">
        <v>17</v>
      </c>
      <c r="N4" s="99" t="s">
        <v>701</v>
      </c>
      <c r="O4" s="156" t="s">
        <v>18</v>
      </c>
      <c r="P4" s="157" t="s">
        <v>19</v>
      </c>
      <c r="Q4" s="149">
        <v>2024</v>
      </c>
      <c r="R4" s="158">
        <f t="shared" ref="R4:R67" si="0">DATE(2024,O4,P4)</f>
        <v>45535</v>
      </c>
    </row>
    <row r="5" spans="1:18">
      <c r="A5" s="98">
        <v>45535</v>
      </c>
      <c r="B5" s="99" t="s">
        <v>11</v>
      </c>
      <c r="C5" s="99">
        <v>2</v>
      </c>
      <c r="D5" s="100" t="s">
        <v>702</v>
      </c>
      <c r="E5" s="101" t="s">
        <v>26</v>
      </c>
      <c r="F5" s="99">
        <v>134</v>
      </c>
      <c r="G5" s="99" t="s">
        <v>17</v>
      </c>
      <c r="H5" s="99" t="s">
        <v>701</v>
      </c>
      <c r="I5" s="104" t="s">
        <v>24</v>
      </c>
      <c r="J5" s="100" t="s">
        <v>25</v>
      </c>
      <c r="K5" s="99"/>
      <c r="L5" s="99" t="s">
        <v>17</v>
      </c>
      <c r="M5" s="99" t="s">
        <v>17</v>
      </c>
      <c r="N5" s="99" t="s">
        <v>701</v>
      </c>
      <c r="O5" s="156" t="s">
        <v>18</v>
      </c>
      <c r="P5" s="157" t="s">
        <v>19</v>
      </c>
      <c r="Q5" s="149">
        <v>2024</v>
      </c>
      <c r="R5" s="158">
        <f t="shared" si="0"/>
        <v>45535</v>
      </c>
    </row>
    <row r="6" spans="1:18">
      <c r="A6" s="98">
        <v>45535</v>
      </c>
      <c r="B6" s="99" t="s">
        <v>31</v>
      </c>
      <c r="C6" s="99">
        <v>3</v>
      </c>
      <c r="D6" s="100" t="s">
        <v>32</v>
      </c>
      <c r="E6" s="101" t="s">
        <v>35</v>
      </c>
      <c r="F6" s="99">
        <v>126</v>
      </c>
      <c r="G6" s="99" t="s">
        <v>17</v>
      </c>
      <c r="H6" s="99" t="s">
        <v>701</v>
      </c>
      <c r="I6" s="104" t="s">
        <v>33</v>
      </c>
      <c r="J6" s="100" t="s">
        <v>34</v>
      </c>
      <c r="K6" s="99"/>
      <c r="L6" s="99" t="s">
        <v>36</v>
      </c>
      <c r="M6" s="99" t="s">
        <v>17</v>
      </c>
      <c r="N6" s="99" t="s">
        <v>701</v>
      </c>
      <c r="O6" s="156" t="s">
        <v>18</v>
      </c>
      <c r="P6" s="157" t="s">
        <v>19</v>
      </c>
      <c r="Q6" s="149">
        <v>2024</v>
      </c>
      <c r="R6" s="158">
        <f t="shared" si="0"/>
        <v>45535</v>
      </c>
    </row>
    <row r="7" spans="1:18">
      <c r="A7" s="98">
        <v>45535</v>
      </c>
      <c r="B7" s="99" t="s">
        <v>31</v>
      </c>
      <c r="C7" s="99">
        <v>3</v>
      </c>
      <c r="D7" s="100" t="s">
        <v>38</v>
      </c>
      <c r="E7" s="101" t="s">
        <v>41</v>
      </c>
      <c r="F7" s="99">
        <v>239</v>
      </c>
      <c r="G7" s="99" t="s">
        <v>17</v>
      </c>
      <c r="H7" s="99" t="s">
        <v>701</v>
      </c>
      <c r="I7" s="104" t="s">
        <v>39</v>
      </c>
      <c r="J7" s="100" t="s">
        <v>40</v>
      </c>
      <c r="K7" s="99"/>
      <c r="L7" s="99" t="s">
        <v>36</v>
      </c>
      <c r="M7" s="99" t="s">
        <v>17</v>
      </c>
      <c r="N7" s="99" t="s">
        <v>701</v>
      </c>
      <c r="O7" s="156" t="s">
        <v>18</v>
      </c>
      <c r="P7" s="157" t="s">
        <v>19</v>
      </c>
      <c r="Q7" s="149">
        <v>2024</v>
      </c>
      <c r="R7" s="158">
        <f t="shared" si="0"/>
        <v>45535</v>
      </c>
    </row>
    <row r="8" spans="1:18">
      <c r="A8" s="98">
        <v>45535</v>
      </c>
      <c r="B8" s="99" t="s">
        <v>31</v>
      </c>
      <c r="C8" s="99">
        <v>3</v>
      </c>
      <c r="D8" s="100" t="s">
        <v>43</v>
      </c>
      <c r="E8" s="101" t="s">
        <v>46</v>
      </c>
      <c r="F8" s="99">
        <v>400</v>
      </c>
      <c r="G8" s="99" t="s">
        <v>17</v>
      </c>
      <c r="H8" s="99" t="s">
        <v>701</v>
      </c>
      <c r="I8" s="104" t="s">
        <v>44</v>
      </c>
      <c r="J8" s="100" t="s">
        <v>45</v>
      </c>
      <c r="K8" s="99"/>
      <c r="L8" s="99" t="s">
        <v>36</v>
      </c>
      <c r="M8" s="99" t="s">
        <v>17</v>
      </c>
      <c r="N8" s="99" t="s">
        <v>701</v>
      </c>
      <c r="O8" s="156" t="s">
        <v>18</v>
      </c>
      <c r="P8" s="157" t="s">
        <v>19</v>
      </c>
      <c r="Q8" s="149">
        <v>2024</v>
      </c>
      <c r="R8" s="158">
        <f t="shared" si="0"/>
        <v>45535</v>
      </c>
    </row>
    <row r="9" spans="1:18">
      <c r="A9" s="98">
        <v>45535</v>
      </c>
      <c r="B9" s="99" t="s">
        <v>31</v>
      </c>
      <c r="C9" s="99">
        <v>3</v>
      </c>
      <c r="D9" s="100" t="s">
        <v>48</v>
      </c>
      <c r="E9" s="97" t="s">
        <v>41</v>
      </c>
      <c r="F9" s="99">
        <v>58</v>
      </c>
      <c r="G9" s="99" t="s">
        <v>17</v>
      </c>
      <c r="H9" s="99" t="s">
        <v>701</v>
      </c>
      <c r="I9" s="104" t="s">
        <v>49</v>
      </c>
      <c r="J9" s="100" t="s">
        <v>50</v>
      </c>
      <c r="K9" s="99"/>
      <c r="L9" s="99" t="s">
        <v>17</v>
      </c>
      <c r="M9" s="99" t="s">
        <v>17</v>
      </c>
      <c r="N9" s="99" t="s">
        <v>701</v>
      </c>
      <c r="O9" s="156" t="s">
        <v>18</v>
      </c>
      <c r="P9" s="157" t="s">
        <v>19</v>
      </c>
      <c r="Q9" s="149">
        <v>2024</v>
      </c>
      <c r="R9" s="158">
        <f t="shared" si="0"/>
        <v>45535</v>
      </c>
    </row>
    <row r="10" spans="1:18">
      <c r="A10" s="98">
        <v>45535</v>
      </c>
      <c r="B10" s="99" t="s">
        <v>31</v>
      </c>
      <c r="C10" s="99">
        <v>3</v>
      </c>
      <c r="D10" s="100" t="s">
        <v>52</v>
      </c>
      <c r="E10" s="97" t="s">
        <v>55</v>
      </c>
      <c r="F10" s="99">
        <v>24</v>
      </c>
      <c r="G10" s="99" t="s">
        <v>17</v>
      </c>
      <c r="H10" s="99" t="s">
        <v>701</v>
      </c>
      <c r="I10" s="104" t="s">
        <v>53</v>
      </c>
      <c r="J10" s="100" t="s">
        <v>54</v>
      </c>
      <c r="K10" s="99"/>
      <c r="L10" s="99" t="s">
        <v>17</v>
      </c>
      <c r="M10" s="99" t="s">
        <v>17</v>
      </c>
      <c r="N10" s="99" t="s">
        <v>701</v>
      </c>
      <c r="O10" s="156" t="s">
        <v>18</v>
      </c>
      <c r="P10" s="157" t="s">
        <v>19</v>
      </c>
      <c r="Q10" s="149">
        <v>2024</v>
      </c>
      <c r="R10" s="158">
        <f t="shared" si="0"/>
        <v>45535</v>
      </c>
    </row>
    <row r="11" spans="1:18">
      <c r="A11" s="98">
        <v>45535</v>
      </c>
      <c r="B11" s="99" t="s">
        <v>31</v>
      </c>
      <c r="C11" s="99">
        <v>3</v>
      </c>
      <c r="D11" s="100" t="s">
        <v>57</v>
      </c>
      <c r="E11" s="97" t="s">
        <v>60</v>
      </c>
      <c r="F11" s="99">
        <v>136</v>
      </c>
      <c r="G11" s="99" t="s">
        <v>17</v>
      </c>
      <c r="H11" s="99" t="s">
        <v>701</v>
      </c>
      <c r="I11" s="104" t="s">
        <v>58</v>
      </c>
      <c r="J11" s="100" t="s">
        <v>59</v>
      </c>
      <c r="K11" s="99"/>
      <c r="L11" s="99" t="s">
        <v>36</v>
      </c>
      <c r="M11" s="99" t="s">
        <v>17</v>
      </c>
      <c r="N11" s="99" t="s">
        <v>701</v>
      </c>
      <c r="O11" s="156" t="s">
        <v>18</v>
      </c>
      <c r="P11" s="157" t="s">
        <v>19</v>
      </c>
      <c r="Q11" s="149">
        <v>2024</v>
      </c>
      <c r="R11" s="158">
        <f t="shared" si="0"/>
        <v>45535</v>
      </c>
    </row>
    <row r="12" spans="1:18">
      <c r="A12" s="98">
        <v>45535</v>
      </c>
      <c r="B12" s="99" t="s">
        <v>31</v>
      </c>
      <c r="C12" s="99">
        <v>3</v>
      </c>
      <c r="D12" s="100" t="s">
        <v>62</v>
      </c>
      <c r="E12" s="97" t="s">
        <v>65</v>
      </c>
      <c r="F12" s="99">
        <v>63</v>
      </c>
      <c r="G12" s="99" t="s">
        <v>17</v>
      </c>
      <c r="H12" s="99" t="s">
        <v>701</v>
      </c>
      <c r="I12" s="104" t="s">
        <v>63</v>
      </c>
      <c r="J12" s="100" t="s">
        <v>64</v>
      </c>
      <c r="K12" s="99"/>
      <c r="L12" s="99" t="s">
        <v>17</v>
      </c>
      <c r="M12" s="99" t="s">
        <v>17</v>
      </c>
      <c r="N12" s="99" t="s">
        <v>701</v>
      </c>
      <c r="O12" s="156" t="s">
        <v>18</v>
      </c>
      <c r="P12" s="157" t="s">
        <v>19</v>
      </c>
      <c r="Q12" s="149">
        <v>2024</v>
      </c>
      <c r="R12" s="158">
        <f t="shared" si="0"/>
        <v>45535</v>
      </c>
    </row>
    <row r="13" spans="1:18">
      <c r="A13" s="98">
        <v>45535</v>
      </c>
      <c r="B13" s="99" t="s">
        <v>31</v>
      </c>
      <c r="C13" s="99">
        <v>3</v>
      </c>
      <c r="D13" s="100" t="s">
        <v>703</v>
      </c>
      <c r="E13" s="97" t="s">
        <v>70</v>
      </c>
      <c r="F13" s="99">
        <v>42</v>
      </c>
      <c r="G13" s="99" t="s">
        <v>17</v>
      </c>
      <c r="H13" s="99" t="s">
        <v>701</v>
      </c>
      <c r="I13" s="104" t="s">
        <v>704</v>
      </c>
      <c r="J13" s="100" t="s">
        <v>69</v>
      </c>
      <c r="K13" s="99"/>
      <c r="L13" s="99" t="s">
        <v>17</v>
      </c>
      <c r="M13" s="99" t="s">
        <v>17</v>
      </c>
      <c r="N13" s="99" t="s">
        <v>701</v>
      </c>
      <c r="O13" s="156" t="s">
        <v>18</v>
      </c>
      <c r="P13" s="157" t="s">
        <v>19</v>
      </c>
      <c r="Q13" s="149">
        <v>2024</v>
      </c>
      <c r="R13" s="158">
        <f t="shared" si="0"/>
        <v>45535</v>
      </c>
    </row>
    <row r="14" spans="1:18">
      <c r="A14" s="98">
        <v>45535</v>
      </c>
      <c r="B14" s="99" t="s">
        <v>31</v>
      </c>
      <c r="C14" s="99">
        <v>3</v>
      </c>
      <c r="D14" s="100" t="s">
        <v>72</v>
      </c>
      <c r="E14" s="97" t="s">
        <v>75</v>
      </c>
      <c r="F14" s="99">
        <v>134</v>
      </c>
      <c r="G14" s="99" t="s">
        <v>17</v>
      </c>
      <c r="H14" s="99" t="s">
        <v>701</v>
      </c>
      <c r="I14" s="104" t="s">
        <v>73</v>
      </c>
      <c r="J14" s="100" t="s">
        <v>74</v>
      </c>
      <c r="K14" s="99"/>
      <c r="L14" s="99" t="s">
        <v>36</v>
      </c>
      <c r="M14" s="99" t="s">
        <v>17</v>
      </c>
      <c r="N14" s="99" t="s">
        <v>701</v>
      </c>
      <c r="O14" s="156" t="s">
        <v>18</v>
      </c>
      <c r="P14" s="157" t="s">
        <v>19</v>
      </c>
      <c r="Q14" s="149">
        <v>2024</v>
      </c>
      <c r="R14" s="158">
        <f t="shared" si="0"/>
        <v>45535</v>
      </c>
    </row>
    <row r="15" spans="1:18">
      <c r="A15" s="98">
        <v>45535</v>
      </c>
      <c r="B15" s="99" t="s">
        <v>31</v>
      </c>
      <c r="C15" s="99">
        <v>3</v>
      </c>
      <c r="D15" s="100" t="s">
        <v>76</v>
      </c>
      <c r="E15" s="97" t="s">
        <v>79</v>
      </c>
      <c r="F15" s="99">
        <v>97</v>
      </c>
      <c r="G15" s="99" t="s">
        <v>17</v>
      </c>
      <c r="H15" s="99" t="s">
        <v>701</v>
      </c>
      <c r="I15" s="104" t="s">
        <v>77</v>
      </c>
      <c r="J15" s="100" t="s">
        <v>78</v>
      </c>
      <c r="K15" s="99"/>
      <c r="L15" s="99" t="s">
        <v>17</v>
      </c>
      <c r="M15" s="99" t="s">
        <v>17</v>
      </c>
      <c r="N15" s="99" t="s">
        <v>701</v>
      </c>
      <c r="O15" s="156" t="s">
        <v>18</v>
      </c>
      <c r="P15" s="157" t="s">
        <v>19</v>
      </c>
      <c r="Q15" s="149">
        <v>2024</v>
      </c>
      <c r="R15" s="158">
        <f t="shared" si="0"/>
        <v>45535</v>
      </c>
    </row>
    <row r="16" spans="1:18">
      <c r="A16" s="98">
        <v>45535</v>
      </c>
      <c r="B16" s="99" t="s">
        <v>80</v>
      </c>
      <c r="C16" s="99">
        <v>2</v>
      </c>
      <c r="D16" s="100" t="s">
        <v>81</v>
      </c>
      <c r="E16" s="101" t="s">
        <v>83</v>
      </c>
      <c r="F16" s="99">
        <v>423</v>
      </c>
      <c r="G16" s="99" t="s">
        <v>17</v>
      </c>
      <c r="H16" s="99" t="s">
        <v>701</v>
      </c>
      <c r="I16" s="104" t="s">
        <v>44</v>
      </c>
      <c r="J16" s="100" t="s">
        <v>82</v>
      </c>
      <c r="K16" s="99"/>
      <c r="L16" s="99" t="s">
        <v>36</v>
      </c>
      <c r="M16" s="99" t="s">
        <v>17</v>
      </c>
      <c r="N16" s="99" t="s">
        <v>701</v>
      </c>
      <c r="O16" s="156" t="s">
        <v>18</v>
      </c>
      <c r="P16" s="157" t="s">
        <v>19</v>
      </c>
      <c r="Q16" s="149">
        <v>2024</v>
      </c>
      <c r="R16" s="158">
        <f t="shared" si="0"/>
        <v>45535</v>
      </c>
    </row>
    <row r="17" spans="1:18">
      <c r="A17" s="98">
        <v>45535</v>
      </c>
      <c r="B17" s="99" t="s">
        <v>87</v>
      </c>
      <c r="C17" s="99">
        <v>3</v>
      </c>
      <c r="D17" s="100" t="s">
        <v>88</v>
      </c>
      <c r="E17" s="101" t="s">
        <v>46</v>
      </c>
      <c r="F17" s="103">
        <v>200</v>
      </c>
      <c r="G17" s="99" t="s">
        <v>17</v>
      </c>
      <c r="H17" s="99" t="s">
        <v>701</v>
      </c>
      <c r="I17" s="104" t="s">
        <v>13</v>
      </c>
      <c r="J17" s="100" t="s">
        <v>89</v>
      </c>
      <c r="K17" s="103"/>
      <c r="L17" s="99" t="s">
        <v>17</v>
      </c>
      <c r="M17" s="99" t="s">
        <v>17</v>
      </c>
      <c r="N17" s="99" t="s">
        <v>701</v>
      </c>
      <c r="O17" s="156" t="s">
        <v>18</v>
      </c>
      <c r="P17" s="157" t="s">
        <v>19</v>
      </c>
      <c r="Q17" s="149">
        <v>2024</v>
      </c>
      <c r="R17" s="158">
        <f t="shared" si="0"/>
        <v>45535</v>
      </c>
    </row>
    <row r="18" spans="1:18">
      <c r="A18" s="98">
        <v>45535</v>
      </c>
      <c r="B18" s="99" t="s">
        <v>87</v>
      </c>
      <c r="C18" s="99">
        <v>3</v>
      </c>
      <c r="D18" s="100" t="s">
        <v>92</v>
      </c>
      <c r="E18" s="101" t="s">
        <v>94</v>
      </c>
      <c r="F18" s="99">
        <v>255</v>
      </c>
      <c r="G18" s="99" t="s">
        <v>17</v>
      </c>
      <c r="H18" s="99" t="s">
        <v>701</v>
      </c>
      <c r="I18" s="104" t="s">
        <v>58</v>
      </c>
      <c r="J18" s="100" t="s">
        <v>93</v>
      </c>
      <c r="K18" s="99"/>
      <c r="L18" s="99" t="s">
        <v>36</v>
      </c>
      <c r="M18" s="99" t="s">
        <v>17</v>
      </c>
      <c r="N18" s="99" t="s">
        <v>701</v>
      </c>
      <c r="O18" s="156" t="s">
        <v>18</v>
      </c>
      <c r="P18" s="157" t="s">
        <v>19</v>
      </c>
      <c r="Q18" s="149">
        <v>2024</v>
      </c>
      <c r="R18" s="158">
        <f t="shared" si="0"/>
        <v>45535</v>
      </c>
    </row>
    <row r="19" spans="1:18">
      <c r="A19" s="98">
        <v>45535</v>
      </c>
      <c r="B19" s="99" t="s">
        <v>87</v>
      </c>
      <c r="C19" s="99">
        <v>3</v>
      </c>
      <c r="D19" s="100" t="s">
        <v>95</v>
      </c>
      <c r="E19" s="101" t="s">
        <v>94</v>
      </c>
      <c r="F19" s="99">
        <v>112</v>
      </c>
      <c r="G19" s="99" t="s">
        <v>17</v>
      </c>
      <c r="H19" s="99" t="s">
        <v>701</v>
      </c>
      <c r="I19" s="104" t="s">
        <v>33</v>
      </c>
      <c r="J19" s="100" t="s">
        <v>96</v>
      </c>
      <c r="K19" s="99"/>
      <c r="L19" s="99" t="s">
        <v>97</v>
      </c>
      <c r="M19" s="99" t="s">
        <v>17</v>
      </c>
      <c r="N19" s="99" t="s">
        <v>701</v>
      </c>
      <c r="O19" s="156" t="s">
        <v>18</v>
      </c>
      <c r="P19" s="157" t="s">
        <v>19</v>
      </c>
      <c r="Q19" s="149">
        <v>2024</v>
      </c>
      <c r="R19" s="158">
        <f t="shared" si="0"/>
        <v>45535</v>
      </c>
    </row>
    <row r="20" spans="1:18">
      <c r="A20" s="98">
        <v>45535</v>
      </c>
      <c r="B20" s="99" t="s">
        <v>87</v>
      </c>
      <c r="C20" s="99">
        <v>3</v>
      </c>
      <c r="D20" s="100" t="s">
        <v>705</v>
      </c>
      <c r="E20" s="97" t="s">
        <v>100</v>
      </c>
      <c r="F20" s="99">
        <v>46</v>
      </c>
      <c r="G20" s="99" t="s">
        <v>17</v>
      </c>
      <c r="H20" s="99" t="s">
        <v>700</v>
      </c>
      <c r="I20" s="104" t="s">
        <v>33</v>
      </c>
      <c r="J20" s="100" t="s">
        <v>96</v>
      </c>
      <c r="K20" s="99"/>
      <c r="L20" s="99" t="s">
        <v>101</v>
      </c>
      <c r="M20" s="99" t="s">
        <v>17</v>
      </c>
      <c r="N20" s="99" t="s">
        <v>700</v>
      </c>
      <c r="O20" s="156" t="s">
        <v>18</v>
      </c>
      <c r="P20" s="157" t="s">
        <v>19</v>
      </c>
      <c r="Q20" s="149">
        <v>2024</v>
      </c>
      <c r="R20" s="158">
        <f t="shared" si="0"/>
        <v>45535</v>
      </c>
    </row>
    <row r="21" spans="1:18">
      <c r="A21" s="98">
        <v>45535</v>
      </c>
      <c r="B21" s="99" t="s">
        <v>87</v>
      </c>
      <c r="C21" s="99">
        <v>3</v>
      </c>
      <c r="D21" s="100" t="s">
        <v>103</v>
      </c>
      <c r="E21" s="97" t="s">
        <v>55</v>
      </c>
      <c r="F21" s="99">
        <v>24</v>
      </c>
      <c r="G21" s="99" t="s">
        <v>17</v>
      </c>
      <c r="H21" s="99" t="s">
        <v>701</v>
      </c>
      <c r="I21" s="104" t="s">
        <v>104</v>
      </c>
      <c r="J21" s="100" t="s">
        <v>105</v>
      </c>
      <c r="K21" s="99"/>
      <c r="L21" s="99" t="s">
        <v>17</v>
      </c>
      <c r="M21" s="99" t="s">
        <v>17</v>
      </c>
      <c r="N21" s="99" t="s">
        <v>701</v>
      </c>
      <c r="O21" s="156" t="s">
        <v>18</v>
      </c>
      <c r="P21" s="157" t="s">
        <v>19</v>
      </c>
      <c r="Q21" s="149">
        <v>2024</v>
      </c>
      <c r="R21" s="158">
        <f t="shared" si="0"/>
        <v>45535</v>
      </c>
    </row>
    <row r="22" spans="1:18">
      <c r="A22" s="98">
        <v>45535</v>
      </c>
      <c r="B22" s="99" t="s">
        <v>87</v>
      </c>
      <c r="C22" s="99">
        <v>3</v>
      </c>
      <c r="D22" s="100" t="s">
        <v>107</v>
      </c>
      <c r="E22" s="101" t="s">
        <v>109</v>
      </c>
      <c r="F22" s="99">
        <v>281</v>
      </c>
      <c r="G22" s="99" t="s">
        <v>17</v>
      </c>
      <c r="H22" s="99" t="s">
        <v>701</v>
      </c>
      <c r="I22" s="104" t="s">
        <v>39</v>
      </c>
      <c r="J22" s="100" t="s">
        <v>108</v>
      </c>
      <c r="K22" s="99"/>
      <c r="L22" s="99" t="s">
        <v>36</v>
      </c>
      <c r="M22" s="99" t="s">
        <v>17</v>
      </c>
      <c r="N22" s="99" t="s">
        <v>701</v>
      </c>
      <c r="O22" s="156" t="s">
        <v>18</v>
      </c>
      <c r="P22" s="157" t="s">
        <v>19</v>
      </c>
      <c r="Q22" s="149">
        <v>2024</v>
      </c>
      <c r="R22" s="158">
        <f t="shared" si="0"/>
        <v>45535</v>
      </c>
    </row>
    <row r="23" spans="1:18">
      <c r="A23" s="98">
        <v>45535</v>
      </c>
      <c r="B23" s="99" t="s">
        <v>87</v>
      </c>
      <c r="C23" s="99">
        <v>3</v>
      </c>
      <c r="D23" s="100" t="s">
        <v>111</v>
      </c>
      <c r="E23" s="101" t="s">
        <v>113</v>
      </c>
      <c r="F23" s="99">
        <v>96</v>
      </c>
      <c r="G23" s="99" t="s">
        <v>17</v>
      </c>
      <c r="H23" s="99" t="s">
        <v>701</v>
      </c>
      <c r="I23" s="104" t="s">
        <v>77</v>
      </c>
      <c r="J23" s="100" t="s">
        <v>112</v>
      </c>
      <c r="K23" s="99"/>
      <c r="L23" s="99" t="s">
        <v>17</v>
      </c>
      <c r="M23" s="99" t="s">
        <v>17</v>
      </c>
      <c r="N23" s="99" t="s">
        <v>701</v>
      </c>
      <c r="O23" s="156" t="s">
        <v>18</v>
      </c>
      <c r="P23" s="157" t="s">
        <v>19</v>
      </c>
      <c r="Q23" s="149">
        <v>2024</v>
      </c>
      <c r="R23" s="158">
        <f t="shared" si="0"/>
        <v>45535</v>
      </c>
    </row>
    <row r="24" spans="1:18">
      <c r="A24" s="98">
        <v>45535</v>
      </c>
      <c r="B24" s="99" t="s">
        <v>87</v>
      </c>
      <c r="C24" s="99">
        <v>3</v>
      </c>
      <c r="D24" s="100" t="s">
        <v>706</v>
      </c>
      <c r="E24" s="101" t="s">
        <v>70</v>
      </c>
      <c r="F24" s="99">
        <v>42</v>
      </c>
      <c r="G24" s="99" t="s">
        <v>17</v>
      </c>
      <c r="H24" s="99" t="s">
        <v>701</v>
      </c>
      <c r="I24" s="104" t="s">
        <v>704</v>
      </c>
      <c r="J24" s="100" t="s">
        <v>69</v>
      </c>
      <c r="K24" s="99"/>
      <c r="L24" s="99" t="s">
        <v>17</v>
      </c>
      <c r="M24" s="99" t="s">
        <v>17</v>
      </c>
      <c r="N24" s="99" t="s">
        <v>701</v>
      </c>
      <c r="O24" s="156" t="s">
        <v>18</v>
      </c>
      <c r="P24" s="157" t="s">
        <v>19</v>
      </c>
      <c r="Q24" s="149">
        <v>2024</v>
      </c>
      <c r="R24" s="158">
        <f t="shared" si="0"/>
        <v>45535</v>
      </c>
    </row>
    <row r="25" spans="1:18">
      <c r="A25" s="98">
        <v>45535</v>
      </c>
      <c r="B25" s="99" t="s">
        <v>87</v>
      </c>
      <c r="C25" s="99">
        <v>3</v>
      </c>
      <c r="D25" s="100" t="s">
        <v>707</v>
      </c>
      <c r="E25" s="101" t="s">
        <v>118</v>
      </c>
      <c r="F25" s="99">
        <v>105</v>
      </c>
      <c r="G25" s="99" t="s">
        <v>17</v>
      </c>
      <c r="H25" s="99" t="s">
        <v>701</v>
      </c>
      <c r="I25" s="104" t="s">
        <v>73</v>
      </c>
      <c r="J25" s="100" t="s">
        <v>117</v>
      </c>
      <c r="K25" s="99"/>
      <c r="L25" s="99" t="s">
        <v>119</v>
      </c>
      <c r="M25" s="99" t="s">
        <v>17</v>
      </c>
      <c r="N25" s="99" t="s">
        <v>701</v>
      </c>
      <c r="O25" s="156" t="s">
        <v>18</v>
      </c>
      <c r="P25" s="157" t="s">
        <v>19</v>
      </c>
      <c r="Q25" s="149">
        <v>2024</v>
      </c>
      <c r="R25" s="158">
        <f t="shared" si="0"/>
        <v>45535</v>
      </c>
    </row>
    <row r="26" spans="1:18">
      <c r="A26" s="98">
        <v>45535</v>
      </c>
      <c r="B26" s="99" t="s">
        <v>87</v>
      </c>
      <c r="C26" s="99">
        <v>3</v>
      </c>
      <c r="D26" s="100" t="s">
        <v>708</v>
      </c>
      <c r="E26" s="101" t="s">
        <v>122</v>
      </c>
      <c r="F26" s="99">
        <v>57</v>
      </c>
      <c r="G26" s="99" t="s">
        <v>17</v>
      </c>
      <c r="H26" s="99" t="s">
        <v>700</v>
      </c>
      <c r="I26" s="104" t="s">
        <v>73</v>
      </c>
      <c r="J26" s="100" t="s">
        <v>117</v>
      </c>
      <c r="K26" s="99"/>
      <c r="L26" s="99" t="s">
        <v>123</v>
      </c>
      <c r="M26" s="99" t="s">
        <v>17</v>
      </c>
      <c r="N26" s="99" t="s">
        <v>700</v>
      </c>
      <c r="O26" s="156" t="s">
        <v>18</v>
      </c>
      <c r="P26" s="157" t="s">
        <v>19</v>
      </c>
      <c r="Q26" s="149">
        <v>2024</v>
      </c>
      <c r="R26" s="158">
        <f t="shared" si="0"/>
        <v>45535</v>
      </c>
    </row>
    <row r="27" spans="1:18">
      <c r="A27" s="98">
        <v>45536</v>
      </c>
      <c r="B27" s="99" t="s">
        <v>11</v>
      </c>
      <c r="C27" s="99">
        <v>2</v>
      </c>
      <c r="D27" s="100" t="s">
        <v>709</v>
      </c>
      <c r="E27" s="101" t="s">
        <v>127</v>
      </c>
      <c r="F27" s="99">
        <v>5</v>
      </c>
      <c r="G27" s="99" t="s">
        <v>17</v>
      </c>
      <c r="H27" s="99" t="s">
        <v>700</v>
      </c>
      <c r="I27" s="104" t="s">
        <v>33</v>
      </c>
      <c r="J27" s="100" t="s">
        <v>126</v>
      </c>
      <c r="K27" s="99"/>
      <c r="L27" s="99" t="s">
        <v>128</v>
      </c>
      <c r="M27" s="99" t="s">
        <v>17</v>
      </c>
      <c r="N27" s="99" t="s">
        <v>700</v>
      </c>
      <c r="O27" s="156" t="s">
        <v>129</v>
      </c>
      <c r="P27" s="157" t="s">
        <v>130</v>
      </c>
      <c r="Q27" s="149">
        <v>2024</v>
      </c>
      <c r="R27" s="158">
        <f t="shared" si="0"/>
        <v>45536</v>
      </c>
    </row>
    <row r="28" spans="1:18">
      <c r="A28" s="98">
        <v>45536</v>
      </c>
      <c r="B28" s="99" t="s">
        <v>11</v>
      </c>
      <c r="C28" s="99">
        <v>2</v>
      </c>
      <c r="D28" s="100" t="s">
        <v>131</v>
      </c>
      <c r="E28" s="101" t="s">
        <v>132</v>
      </c>
      <c r="F28" s="99">
        <v>95</v>
      </c>
      <c r="G28" s="99" t="s">
        <v>17</v>
      </c>
      <c r="H28" s="99" t="s">
        <v>701</v>
      </c>
      <c r="I28" s="104" t="s">
        <v>33</v>
      </c>
      <c r="J28" s="100" t="s">
        <v>126</v>
      </c>
      <c r="K28" s="99"/>
      <c r="L28" s="99" t="s">
        <v>119</v>
      </c>
      <c r="M28" s="99" t="s">
        <v>17</v>
      </c>
      <c r="N28" s="99" t="s">
        <v>701</v>
      </c>
      <c r="O28" s="156" t="s">
        <v>129</v>
      </c>
      <c r="P28" s="157" t="s">
        <v>130</v>
      </c>
      <c r="Q28" s="149">
        <v>2024</v>
      </c>
      <c r="R28" s="158">
        <f t="shared" si="0"/>
        <v>45536</v>
      </c>
    </row>
    <row r="29" spans="1:18">
      <c r="A29" s="98">
        <v>45536</v>
      </c>
      <c r="B29" s="99" t="s">
        <v>11</v>
      </c>
      <c r="C29" s="99">
        <v>2</v>
      </c>
      <c r="D29" s="100" t="s">
        <v>710</v>
      </c>
      <c r="E29" s="97" t="s">
        <v>137</v>
      </c>
      <c r="F29" s="99">
        <v>20</v>
      </c>
      <c r="G29" s="99" t="s">
        <v>711</v>
      </c>
      <c r="H29" s="99" t="s">
        <v>701</v>
      </c>
      <c r="I29" s="104" t="s">
        <v>135</v>
      </c>
      <c r="J29" s="100" t="s">
        <v>136</v>
      </c>
      <c r="K29" s="99"/>
      <c r="L29" s="99" t="s">
        <v>17</v>
      </c>
      <c r="M29" s="99" t="s">
        <v>711</v>
      </c>
      <c r="N29" s="99" t="s">
        <v>701</v>
      </c>
      <c r="O29" s="156" t="s">
        <v>129</v>
      </c>
      <c r="P29" s="157" t="s">
        <v>130</v>
      </c>
      <c r="Q29" s="149">
        <v>2024</v>
      </c>
      <c r="R29" s="158">
        <f t="shared" si="0"/>
        <v>45536</v>
      </c>
    </row>
    <row r="30" spans="1:18">
      <c r="A30" s="98">
        <v>45536</v>
      </c>
      <c r="B30" s="99" t="s">
        <v>11</v>
      </c>
      <c r="C30" s="99">
        <v>2</v>
      </c>
      <c r="D30" s="100" t="s">
        <v>712</v>
      </c>
      <c r="E30" s="97" t="s">
        <v>141</v>
      </c>
      <c r="F30" s="99">
        <v>107</v>
      </c>
      <c r="G30" s="99" t="s">
        <v>17</v>
      </c>
      <c r="H30" s="99" t="s">
        <v>701</v>
      </c>
      <c r="I30" s="104" t="s">
        <v>24</v>
      </c>
      <c r="J30" s="100" t="s">
        <v>140</v>
      </c>
      <c r="K30" s="99"/>
      <c r="L30" s="99" t="s">
        <v>17</v>
      </c>
      <c r="M30" s="99" t="s">
        <v>17</v>
      </c>
      <c r="N30" s="99" t="s">
        <v>701</v>
      </c>
      <c r="O30" s="156" t="s">
        <v>129</v>
      </c>
      <c r="P30" s="157" t="s">
        <v>130</v>
      </c>
      <c r="Q30" s="149">
        <v>2024</v>
      </c>
      <c r="R30" s="158">
        <f t="shared" si="0"/>
        <v>45536</v>
      </c>
    </row>
    <row r="31" spans="1:18">
      <c r="A31" s="98">
        <v>45536</v>
      </c>
      <c r="B31" s="99" t="s">
        <v>31</v>
      </c>
      <c r="C31" s="99">
        <v>3</v>
      </c>
      <c r="D31" s="100" t="s">
        <v>713</v>
      </c>
      <c r="E31" s="97" t="s">
        <v>147</v>
      </c>
      <c r="F31" s="99">
        <v>382</v>
      </c>
      <c r="G31" s="99" t="s">
        <v>17</v>
      </c>
      <c r="H31" s="99" t="s">
        <v>701</v>
      </c>
      <c r="I31" s="104" t="s">
        <v>44</v>
      </c>
      <c r="J31" s="100" t="s">
        <v>146</v>
      </c>
      <c r="K31" s="99"/>
      <c r="L31" s="99" t="s">
        <v>36</v>
      </c>
      <c r="M31" s="99" t="s">
        <v>17</v>
      </c>
      <c r="N31" s="99" t="s">
        <v>701</v>
      </c>
      <c r="O31" s="156" t="s">
        <v>129</v>
      </c>
      <c r="P31" s="157" t="s">
        <v>130</v>
      </c>
      <c r="Q31" s="149">
        <v>2024</v>
      </c>
      <c r="R31" s="158">
        <f t="shared" si="0"/>
        <v>45536</v>
      </c>
    </row>
    <row r="32" spans="1:18">
      <c r="A32" s="98">
        <v>45536</v>
      </c>
      <c r="B32" s="99" t="s">
        <v>31</v>
      </c>
      <c r="C32" s="99">
        <v>3</v>
      </c>
      <c r="D32" s="100" t="s">
        <v>149</v>
      </c>
      <c r="E32" s="101" t="s">
        <v>35</v>
      </c>
      <c r="F32" s="99">
        <v>44</v>
      </c>
      <c r="G32" s="99" t="s">
        <v>17</v>
      </c>
      <c r="H32" s="99" t="s">
        <v>701</v>
      </c>
      <c r="I32" s="104" t="s">
        <v>13</v>
      </c>
      <c r="J32" s="100" t="s">
        <v>150</v>
      </c>
      <c r="K32" s="99"/>
      <c r="L32" s="99" t="s">
        <v>17</v>
      </c>
      <c r="M32" s="99" t="s">
        <v>17</v>
      </c>
      <c r="N32" s="99" t="s">
        <v>701</v>
      </c>
      <c r="O32" s="156" t="s">
        <v>129</v>
      </c>
      <c r="P32" s="157" t="s">
        <v>130</v>
      </c>
      <c r="Q32" s="149">
        <v>2024</v>
      </c>
      <c r="R32" s="158">
        <f t="shared" si="0"/>
        <v>45536</v>
      </c>
    </row>
    <row r="33" spans="1:18">
      <c r="A33" s="98">
        <v>45536</v>
      </c>
      <c r="B33" s="99" t="s">
        <v>31</v>
      </c>
      <c r="C33" s="99">
        <v>3</v>
      </c>
      <c r="D33" s="100" t="s">
        <v>714</v>
      </c>
      <c r="E33" s="101" t="s">
        <v>153</v>
      </c>
      <c r="F33" s="99">
        <v>19</v>
      </c>
      <c r="G33" s="99" t="s">
        <v>17</v>
      </c>
      <c r="H33" s="99" t="s">
        <v>700</v>
      </c>
      <c r="I33" s="104" t="s">
        <v>73</v>
      </c>
      <c r="J33" s="100" t="s">
        <v>152</v>
      </c>
      <c r="K33" s="99"/>
      <c r="L33" s="99" t="s">
        <v>154</v>
      </c>
      <c r="M33" s="99" t="s">
        <v>17</v>
      </c>
      <c r="N33" s="99" t="s">
        <v>700</v>
      </c>
      <c r="O33" s="156" t="s">
        <v>129</v>
      </c>
      <c r="P33" s="157" t="s">
        <v>130</v>
      </c>
      <c r="Q33" s="149">
        <v>2024</v>
      </c>
      <c r="R33" s="158">
        <f t="shared" si="0"/>
        <v>45536</v>
      </c>
    </row>
    <row r="34" spans="1:18">
      <c r="A34" s="98">
        <v>45536</v>
      </c>
      <c r="B34" s="99" t="s">
        <v>31</v>
      </c>
      <c r="C34" s="99">
        <v>3</v>
      </c>
      <c r="D34" s="100" t="s">
        <v>156</v>
      </c>
      <c r="E34" s="101" t="s">
        <v>157</v>
      </c>
      <c r="F34" s="99">
        <v>83</v>
      </c>
      <c r="G34" s="99" t="s">
        <v>17</v>
      </c>
      <c r="H34" s="99" t="s">
        <v>701</v>
      </c>
      <c r="I34" s="104" t="s">
        <v>73</v>
      </c>
      <c r="J34" s="100" t="s">
        <v>152</v>
      </c>
      <c r="K34" s="99"/>
      <c r="L34" s="99" t="s">
        <v>158</v>
      </c>
      <c r="M34" s="99" t="s">
        <v>17</v>
      </c>
      <c r="N34" s="99" t="s">
        <v>701</v>
      </c>
      <c r="O34" s="156" t="s">
        <v>129</v>
      </c>
      <c r="P34" s="157" t="s">
        <v>130</v>
      </c>
      <c r="Q34" s="149">
        <v>2024</v>
      </c>
      <c r="R34" s="158">
        <f t="shared" si="0"/>
        <v>45536</v>
      </c>
    </row>
    <row r="35" spans="1:18">
      <c r="A35" s="98">
        <v>45536</v>
      </c>
      <c r="B35" s="99" t="s">
        <v>31</v>
      </c>
      <c r="C35" s="99">
        <v>3</v>
      </c>
      <c r="D35" s="100" t="s">
        <v>715</v>
      </c>
      <c r="E35" s="101" t="s">
        <v>161</v>
      </c>
      <c r="F35" s="99">
        <v>75</v>
      </c>
      <c r="G35" s="99" t="s">
        <v>17</v>
      </c>
      <c r="H35" s="99" t="s">
        <v>701</v>
      </c>
      <c r="I35" s="104" t="s">
        <v>704</v>
      </c>
      <c r="J35" s="100" t="s">
        <v>160</v>
      </c>
      <c r="K35" s="99"/>
      <c r="L35" s="99" t="s">
        <v>17</v>
      </c>
      <c r="M35" s="99" t="s">
        <v>17</v>
      </c>
      <c r="N35" s="99" t="s">
        <v>701</v>
      </c>
      <c r="O35" s="156" t="s">
        <v>129</v>
      </c>
      <c r="P35" s="157" t="s">
        <v>130</v>
      </c>
      <c r="Q35" s="149">
        <v>2024</v>
      </c>
      <c r="R35" s="158">
        <f t="shared" si="0"/>
        <v>45536</v>
      </c>
    </row>
    <row r="36" spans="1:18">
      <c r="A36" s="98">
        <v>45536</v>
      </c>
      <c r="B36" s="99" t="s">
        <v>31</v>
      </c>
      <c r="C36" s="99">
        <v>3</v>
      </c>
      <c r="D36" s="100" t="s">
        <v>716</v>
      </c>
      <c r="E36" s="97" t="s">
        <v>165</v>
      </c>
      <c r="F36" s="99">
        <v>8</v>
      </c>
      <c r="G36" s="99" t="s">
        <v>17</v>
      </c>
      <c r="H36" s="99" t="s">
        <v>701</v>
      </c>
      <c r="I36" s="104" t="s">
        <v>163</v>
      </c>
      <c r="J36" s="100" t="s">
        <v>164</v>
      </c>
      <c r="K36" s="99"/>
      <c r="L36" s="99" t="s">
        <v>17</v>
      </c>
      <c r="M36" s="99" t="s">
        <v>17</v>
      </c>
      <c r="N36" s="99" t="s">
        <v>701</v>
      </c>
      <c r="O36" s="156" t="s">
        <v>129</v>
      </c>
      <c r="P36" s="157" t="s">
        <v>130</v>
      </c>
      <c r="Q36" s="149">
        <v>2024</v>
      </c>
      <c r="R36" s="158">
        <f t="shared" si="0"/>
        <v>45536</v>
      </c>
    </row>
    <row r="37" spans="1:18">
      <c r="A37" s="98">
        <v>45536</v>
      </c>
      <c r="B37" s="99" t="s">
        <v>31</v>
      </c>
      <c r="C37" s="99">
        <v>3</v>
      </c>
      <c r="D37" s="100" t="s">
        <v>717</v>
      </c>
      <c r="E37" s="101" t="s">
        <v>169</v>
      </c>
      <c r="F37" s="99">
        <v>47</v>
      </c>
      <c r="G37" s="99" t="s">
        <v>17</v>
      </c>
      <c r="H37" s="99" t="s">
        <v>700</v>
      </c>
      <c r="I37" s="104" t="s">
        <v>39</v>
      </c>
      <c r="J37" s="100" t="s">
        <v>168</v>
      </c>
      <c r="K37" s="99"/>
      <c r="L37" s="99" t="s">
        <v>170</v>
      </c>
      <c r="M37" s="99" t="s">
        <v>17</v>
      </c>
      <c r="N37" s="99" t="s">
        <v>700</v>
      </c>
      <c r="O37" s="156" t="s">
        <v>129</v>
      </c>
      <c r="P37" s="157" t="s">
        <v>130</v>
      </c>
      <c r="Q37" s="149">
        <v>2024</v>
      </c>
      <c r="R37" s="158">
        <f t="shared" si="0"/>
        <v>45536</v>
      </c>
    </row>
    <row r="38" spans="1:18">
      <c r="A38" s="98">
        <v>45536</v>
      </c>
      <c r="B38" s="99" t="s">
        <v>31</v>
      </c>
      <c r="C38" s="99">
        <v>3</v>
      </c>
      <c r="D38" s="100" t="s">
        <v>171</v>
      </c>
      <c r="E38" s="97" t="s">
        <v>172</v>
      </c>
      <c r="F38" s="99">
        <v>107</v>
      </c>
      <c r="G38" s="99" t="s">
        <v>17</v>
      </c>
      <c r="H38" s="99" t="s">
        <v>701</v>
      </c>
      <c r="I38" s="104" t="s">
        <v>39</v>
      </c>
      <c r="J38" s="100" t="s">
        <v>168</v>
      </c>
      <c r="K38" s="99"/>
      <c r="L38" s="99" t="s">
        <v>173</v>
      </c>
      <c r="M38" s="99" t="s">
        <v>17</v>
      </c>
      <c r="N38" s="99" t="s">
        <v>701</v>
      </c>
      <c r="O38" s="156" t="s">
        <v>129</v>
      </c>
      <c r="P38" s="157" t="s">
        <v>130</v>
      </c>
      <c r="Q38" s="149">
        <v>2024</v>
      </c>
      <c r="R38" s="158">
        <f t="shared" si="0"/>
        <v>45536</v>
      </c>
    </row>
    <row r="39" spans="1:18">
      <c r="A39" s="98">
        <v>45536</v>
      </c>
      <c r="B39" s="99" t="s">
        <v>31</v>
      </c>
      <c r="C39" s="99">
        <v>3</v>
      </c>
      <c r="D39" s="100" t="s">
        <v>718</v>
      </c>
      <c r="E39" s="97" t="s">
        <v>178</v>
      </c>
      <c r="F39" s="99">
        <v>4</v>
      </c>
      <c r="G39" s="99" t="s">
        <v>17</v>
      </c>
      <c r="H39" s="99" t="s">
        <v>701</v>
      </c>
      <c r="I39" s="104" t="s">
        <v>176</v>
      </c>
      <c r="J39" s="100" t="s">
        <v>177</v>
      </c>
      <c r="K39" s="99"/>
      <c r="L39" s="99" t="s">
        <v>176</v>
      </c>
      <c r="M39" s="99" t="s">
        <v>17</v>
      </c>
      <c r="N39" s="99" t="s">
        <v>701</v>
      </c>
      <c r="O39" s="156" t="s">
        <v>129</v>
      </c>
      <c r="P39" s="157" t="s">
        <v>130</v>
      </c>
      <c r="Q39" s="149">
        <v>2024</v>
      </c>
      <c r="R39" s="158">
        <f t="shared" si="0"/>
        <v>45536</v>
      </c>
    </row>
    <row r="40" spans="1:18">
      <c r="A40" s="98">
        <v>45536</v>
      </c>
      <c r="B40" s="99" t="s">
        <v>80</v>
      </c>
      <c r="C40" s="99">
        <v>2</v>
      </c>
      <c r="D40" s="100" t="s">
        <v>180</v>
      </c>
      <c r="E40" s="101" t="s">
        <v>137</v>
      </c>
      <c r="F40" s="99">
        <v>414</v>
      </c>
      <c r="G40" s="103" t="s">
        <v>17</v>
      </c>
      <c r="H40" s="99" t="s">
        <v>701</v>
      </c>
      <c r="I40" s="104" t="s">
        <v>44</v>
      </c>
      <c r="J40" s="100" t="s">
        <v>181</v>
      </c>
      <c r="K40" s="99"/>
      <c r="L40" s="103" t="s">
        <v>36</v>
      </c>
      <c r="M40" s="103" t="s">
        <v>17</v>
      </c>
      <c r="N40" s="99" t="s">
        <v>701</v>
      </c>
      <c r="O40" s="156" t="s">
        <v>129</v>
      </c>
      <c r="P40" s="157" t="s">
        <v>130</v>
      </c>
      <c r="Q40" s="149">
        <v>2024</v>
      </c>
      <c r="R40" s="158">
        <f t="shared" si="0"/>
        <v>45536</v>
      </c>
    </row>
    <row r="41" spans="1:18">
      <c r="A41" s="98">
        <v>45536</v>
      </c>
      <c r="B41" s="99" t="s">
        <v>80</v>
      </c>
      <c r="C41" s="99">
        <v>2</v>
      </c>
      <c r="D41" s="100" t="s">
        <v>183</v>
      </c>
      <c r="E41" s="101" t="s">
        <v>185</v>
      </c>
      <c r="F41" s="99">
        <v>21</v>
      </c>
      <c r="G41" s="99" t="s">
        <v>17</v>
      </c>
      <c r="H41" s="99" t="s">
        <v>701</v>
      </c>
      <c r="I41" s="104" t="s">
        <v>13</v>
      </c>
      <c r="J41" s="100" t="s">
        <v>184</v>
      </c>
      <c r="K41" s="99"/>
      <c r="L41" s="99" t="s">
        <v>17</v>
      </c>
      <c r="M41" s="99" t="s">
        <v>17</v>
      </c>
      <c r="N41" s="99" t="s">
        <v>701</v>
      </c>
      <c r="O41" s="156" t="s">
        <v>129</v>
      </c>
      <c r="P41" s="157" t="s">
        <v>130</v>
      </c>
      <c r="Q41" s="149">
        <v>2024</v>
      </c>
      <c r="R41" s="158">
        <f t="shared" si="0"/>
        <v>45536</v>
      </c>
    </row>
    <row r="42" spans="1:18">
      <c r="A42" s="98">
        <v>45536</v>
      </c>
      <c r="B42" s="99" t="s">
        <v>87</v>
      </c>
      <c r="C42" s="99">
        <v>3</v>
      </c>
      <c r="D42" s="100" t="s">
        <v>719</v>
      </c>
      <c r="E42" s="101" t="s">
        <v>127</v>
      </c>
      <c r="F42" s="99">
        <v>5</v>
      </c>
      <c r="G42" s="99" t="s">
        <v>17</v>
      </c>
      <c r="H42" s="99" t="s">
        <v>700</v>
      </c>
      <c r="I42" s="106" t="s">
        <v>49</v>
      </c>
      <c r="J42" s="100" t="s">
        <v>187</v>
      </c>
      <c r="K42" s="99"/>
      <c r="L42" s="99" t="s">
        <v>17</v>
      </c>
      <c r="M42" s="99" t="s">
        <v>17</v>
      </c>
      <c r="N42" s="99" t="s">
        <v>700</v>
      </c>
      <c r="O42" s="156" t="s">
        <v>129</v>
      </c>
      <c r="P42" s="157" t="s">
        <v>130</v>
      </c>
      <c r="Q42" s="149">
        <v>2024</v>
      </c>
      <c r="R42" s="158">
        <f t="shared" si="0"/>
        <v>45536</v>
      </c>
    </row>
    <row r="43" spans="1:18">
      <c r="A43" s="98">
        <v>45536</v>
      </c>
      <c r="B43" s="99" t="s">
        <v>87</v>
      </c>
      <c r="C43" s="99">
        <v>3</v>
      </c>
      <c r="D43" s="100" t="s">
        <v>188</v>
      </c>
      <c r="E43" s="101" t="s">
        <v>189</v>
      </c>
      <c r="F43" s="99">
        <v>57</v>
      </c>
      <c r="G43" s="99" t="s">
        <v>17</v>
      </c>
      <c r="H43" s="99" t="s">
        <v>701</v>
      </c>
      <c r="I43" s="104" t="s">
        <v>49</v>
      </c>
      <c r="J43" s="100" t="s">
        <v>187</v>
      </c>
      <c r="K43" s="99"/>
      <c r="L43" s="99" t="s">
        <v>17</v>
      </c>
      <c r="M43" s="99" t="s">
        <v>17</v>
      </c>
      <c r="N43" s="99" t="s">
        <v>701</v>
      </c>
      <c r="O43" s="156" t="s">
        <v>129</v>
      </c>
      <c r="P43" s="157" t="s">
        <v>130</v>
      </c>
      <c r="Q43" s="149">
        <v>2024</v>
      </c>
      <c r="R43" s="158">
        <f t="shared" si="0"/>
        <v>45536</v>
      </c>
    </row>
    <row r="44" spans="1:18">
      <c r="A44" s="98">
        <v>45536</v>
      </c>
      <c r="B44" s="99" t="s">
        <v>87</v>
      </c>
      <c r="C44" s="99">
        <v>3</v>
      </c>
      <c r="D44" s="100" t="s">
        <v>191</v>
      </c>
      <c r="E44" s="101" t="s">
        <v>193</v>
      </c>
      <c r="F44" s="99">
        <v>45</v>
      </c>
      <c r="G44" s="99" t="s">
        <v>17</v>
      </c>
      <c r="H44" s="99" t="s">
        <v>701</v>
      </c>
      <c r="I44" s="104" t="s">
        <v>53</v>
      </c>
      <c r="J44" s="100" t="s">
        <v>192</v>
      </c>
      <c r="K44" s="99"/>
      <c r="L44" s="99" t="s">
        <v>17</v>
      </c>
      <c r="M44" s="99" t="s">
        <v>17</v>
      </c>
      <c r="N44" s="99" t="s">
        <v>701</v>
      </c>
      <c r="O44" s="156" t="s">
        <v>129</v>
      </c>
      <c r="P44" s="157" t="s">
        <v>130</v>
      </c>
      <c r="Q44" s="149">
        <v>2024</v>
      </c>
      <c r="R44" s="158">
        <f t="shared" si="0"/>
        <v>45536</v>
      </c>
    </row>
    <row r="45" spans="1:18">
      <c r="A45" s="98">
        <v>45536</v>
      </c>
      <c r="B45" s="99" t="s">
        <v>87</v>
      </c>
      <c r="C45" s="99">
        <v>3</v>
      </c>
      <c r="D45" s="100" t="s">
        <v>720</v>
      </c>
      <c r="E45" s="101" t="s">
        <v>196</v>
      </c>
      <c r="F45" s="99">
        <v>75</v>
      </c>
      <c r="G45" s="99" t="s">
        <v>17</v>
      </c>
      <c r="H45" s="99" t="s">
        <v>701</v>
      </c>
      <c r="I45" s="104" t="s">
        <v>27</v>
      </c>
      <c r="J45" s="100" t="s">
        <v>195</v>
      </c>
      <c r="K45" s="99"/>
      <c r="L45" s="99" t="s">
        <v>17</v>
      </c>
      <c r="M45" s="99" t="s">
        <v>17</v>
      </c>
      <c r="N45" s="99" t="s">
        <v>701</v>
      </c>
      <c r="O45" s="156" t="s">
        <v>129</v>
      </c>
      <c r="P45" s="157" t="s">
        <v>130</v>
      </c>
      <c r="Q45" s="149">
        <v>2024</v>
      </c>
      <c r="R45" s="158">
        <f t="shared" si="0"/>
        <v>45536</v>
      </c>
    </row>
    <row r="46" spans="1:18">
      <c r="A46" s="98">
        <v>45536</v>
      </c>
      <c r="B46" s="99" t="s">
        <v>87</v>
      </c>
      <c r="C46" s="99">
        <v>3</v>
      </c>
      <c r="D46" s="100" t="s">
        <v>721</v>
      </c>
      <c r="E46" s="97" t="s">
        <v>26</v>
      </c>
      <c r="F46" s="99">
        <v>134</v>
      </c>
      <c r="G46" s="99" t="s">
        <v>17</v>
      </c>
      <c r="H46" s="99" t="s">
        <v>701</v>
      </c>
      <c r="I46" s="100" t="s">
        <v>73</v>
      </c>
      <c r="J46" s="100" t="s">
        <v>197</v>
      </c>
      <c r="K46" s="99"/>
      <c r="L46" s="99" t="s">
        <v>36</v>
      </c>
      <c r="M46" s="99" t="s">
        <v>17</v>
      </c>
      <c r="N46" s="99" t="s">
        <v>701</v>
      </c>
      <c r="O46" s="156" t="s">
        <v>129</v>
      </c>
      <c r="P46" s="157" t="s">
        <v>130</v>
      </c>
      <c r="Q46" s="149">
        <v>2024</v>
      </c>
      <c r="R46" s="158">
        <f t="shared" si="0"/>
        <v>45536</v>
      </c>
    </row>
    <row r="47" spans="1:18">
      <c r="A47" s="98">
        <v>45536</v>
      </c>
      <c r="B47" s="99" t="s">
        <v>87</v>
      </c>
      <c r="C47" s="99">
        <v>3</v>
      </c>
      <c r="D47" s="100" t="s">
        <v>722</v>
      </c>
      <c r="E47" s="101" t="s">
        <v>141</v>
      </c>
      <c r="F47" s="99">
        <v>107</v>
      </c>
      <c r="G47" s="99" t="s">
        <v>17</v>
      </c>
      <c r="H47" s="99" t="s">
        <v>700</v>
      </c>
      <c r="I47" s="104" t="s">
        <v>39</v>
      </c>
      <c r="J47" s="100" t="s">
        <v>199</v>
      </c>
      <c r="K47" s="99"/>
      <c r="L47" s="99" t="s">
        <v>200</v>
      </c>
      <c r="M47" s="99" t="s">
        <v>17</v>
      </c>
      <c r="N47" s="99" t="s">
        <v>700</v>
      </c>
      <c r="O47" s="156" t="s">
        <v>129</v>
      </c>
      <c r="P47" s="157" t="s">
        <v>130</v>
      </c>
      <c r="Q47" s="149">
        <v>2024</v>
      </c>
      <c r="R47" s="158">
        <f t="shared" si="0"/>
        <v>45536</v>
      </c>
    </row>
    <row r="48" spans="1:18">
      <c r="A48" s="98">
        <v>45536</v>
      </c>
      <c r="B48" s="99" t="s">
        <v>87</v>
      </c>
      <c r="C48" s="99">
        <v>3</v>
      </c>
      <c r="D48" s="100" t="s">
        <v>723</v>
      </c>
      <c r="E48" s="101" t="s">
        <v>203</v>
      </c>
      <c r="F48" s="99">
        <v>107</v>
      </c>
      <c r="G48" s="99" t="s">
        <v>17</v>
      </c>
      <c r="H48" s="99" t="s">
        <v>701</v>
      </c>
      <c r="I48" s="104" t="s">
        <v>39</v>
      </c>
      <c r="J48" s="100" t="s">
        <v>199</v>
      </c>
      <c r="K48" s="99"/>
      <c r="L48" s="99" t="s">
        <v>204</v>
      </c>
      <c r="M48" s="99" t="s">
        <v>17</v>
      </c>
      <c r="N48" s="99" t="s">
        <v>701</v>
      </c>
      <c r="O48" s="156" t="s">
        <v>129</v>
      </c>
      <c r="P48" s="157" t="s">
        <v>130</v>
      </c>
      <c r="Q48" s="149">
        <v>2024</v>
      </c>
      <c r="R48" s="158">
        <f t="shared" si="0"/>
        <v>45536</v>
      </c>
    </row>
    <row r="49" spans="1:18">
      <c r="A49" s="98">
        <v>45536</v>
      </c>
      <c r="B49" s="99" t="s">
        <v>87</v>
      </c>
      <c r="C49" s="99">
        <v>3</v>
      </c>
      <c r="D49" s="100" t="s">
        <v>724</v>
      </c>
      <c r="E49" s="97" t="s">
        <v>209</v>
      </c>
      <c r="F49" s="99">
        <v>4</v>
      </c>
      <c r="G49" s="99" t="s">
        <v>17</v>
      </c>
      <c r="H49" s="99" t="s">
        <v>701</v>
      </c>
      <c r="I49" s="104" t="s">
        <v>207</v>
      </c>
      <c r="J49" s="100" t="s">
        <v>208</v>
      </c>
      <c r="K49" s="99"/>
      <c r="L49" s="99" t="s">
        <v>17</v>
      </c>
      <c r="M49" s="99" t="s">
        <v>17</v>
      </c>
      <c r="N49" s="99" t="s">
        <v>701</v>
      </c>
      <c r="O49" s="156" t="s">
        <v>129</v>
      </c>
      <c r="P49" s="157" t="s">
        <v>130</v>
      </c>
      <c r="Q49" s="149">
        <v>2024</v>
      </c>
      <c r="R49" s="158">
        <f t="shared" si="0"/>
        <v>45536</v>
      </c>
    </row>
    <row r="50" spans="1:18">
      <c r="A50" s="98">
        <v>45537</v>
      </c>
      <c r="B50" s="99" t="s">
        <v>11</v>
      </c>
      <c r="C50" s="99">
        <v>2</v>
      </c>
      <c r="D50" s="100" t="s">
        <v>725</v>
      </c>
      <c r="E50" s="101" t="s">
        <v>213</v>
      </c>
      <c r="F50" s="99">
        <v>73</v>
      </c>
      <c r="G50" s="99" t="s">
        <v>17</v>
      </c>
      <c r="H50" s="99" t="s">
        <v>701</v>
      </c>
      <c r="I50" s="104" t="s">
        <v>27</v>
      </c>
      <c r="J50" s="100" t="s">
        <v>212</v>
      </c>
      <c r="K50" s="99"/>
      <c r="L50" s="99" t="s">
        <v>17</v>
      </c>
      <c r="M50" s="99" t="s">
        <v>17</v>
      </c>
      <c r="N50" s="99" t="s">
        <v>701</v>
      </c>
      <c r="O50" s="156" t="s">
        <v>129</v>
      </c>
      <c r="P50" s="157" t="s">
        <v>214</v>
      </c>
      <c r="Q50" s="149">
        <v>2024</v>
      </c>
      <c r="R50" s="158">
        <f t="shared" si="0"/>
        <v>45537</v>
      </c>
    </row>
    <row r="51" spans="1:18">
      <c r="A51" s="98">
        <v>45537</v>
      </c>
      <c r="B51" s="99" t="s">
        <v>11</v>
      </c>
      <c r="C51" s="99">
        <v>2</v>
      </c>
      <c r="D51" s="100" t="s">
        <v>215</v>
      </c>
      <c r="E51" s="97" t="s">
        <v>118</v>
      </c>
      <c r="F51" s="99">
        <v>89</v>
      </c>
      <c r="G51" s="99" t="s">
        <v>17</v>
      </c>
      <c r="H51" s="99" t="s">
        <v>701</v>
      </c>
      <c r="I51" s="104" t="s">
        <v>77</v>
      </c>
      <c r="J51" s="100" t="s">
        <v>216</v>
      </c>
      <c r="K51" s="99"/>
      <c r="L51" s="99" t="s">
        <v>17</v>
      </c>
      <c r="M51" s="99" t="s">
        <v>17</v>
      </c>
      <c r="N51" s="99" t="s">
        <v>701</v>
      </c>
      <c r="O51" s="156" t="s">
        <v>129</v>
      </c>
      <c r="P51" s="157" t="s">
        <v>214</v>
      </c>
      <c r="Q51" s="149">
        <v>2024</v>
      </c>
      <c r="R51" s="158">
        <f t="shared" si="0"/>
        <v>45537</v>
      </c>
    </row>
    <row r="52" spans="1:18">
      <c r="A52" s="98">
        <v>45537</v>
      </c>
      <c r="B52" s="99" t="s">
        <v>31</v>
      </c>
      <c r="C52" s="99">
        <v>3</v>
      </c>
      <c r="D52" s="100" t="s">
        <v>218</v>
      </c>
      <c r="E52" s="101" t="s">
        <v>220</v>
      </c>
      <c r="F52" s="99">
        <v>784</v>
      </c>
      <c r="G52" s="99" t="s">
        <v>17</v>
      </c>
      <c r="H52" s="99" t="s">
        <v>701</v>
      </c>
      <c r="I52" s="104" t="s">
        <v>44</v>
      </c>
      <c r="J52" s="100" t="s">
        <v>219</v>
      </c>
      <c r="K52" s="99"/>
      <c r="L52" s="99" t="s">
        <v>36</v>
      </c>
      <c r="M52" s="99" t="s">
        <v>17</v>
      </c>
      <c r="N52" s="99" t="s">
        <v>701</v>
      </c>
      <c r="O52" s="156" t="s">
        <v>129</v>
      </c>
      <c r="P52" s="157" t="s">
        <v>214</v>
      </c>
      <c r="Q52" s="149">
        <v>2024</v>
      </c>
      <c r="R52" s="158">
        <f t="shared" si="0"/>
        <v>45537</v>
      </c>
    </row>
    <row r="53" spans="1:18">
      <c r="A53" s="98">
        <v>45537</v>
      </c>
      <c r="B53" s="99" t="s">
        <v>31</v>
      </c>
      <c r="C53" s="99">
        <v>3</v>
      </c>
      <c r="D53" s="100" t="s">
        <v>224</v>
      </c>
      <c r="E53" s="97" t="s">
        <v>220</v>
      </c>
      <c r="F53" s="99">
        <v>115</v>
      </c>
      <c r="G53" s="99" t="s">
        <v>17</v>
      </c>
      <c r="H53" s="99" t="s">
        <v>701</v>
      </c>
      <c r="I53" s="104" t="s">
        <v>73</v>
      </c>
      <c r="J53" s="100" t="s">
        <v>225</v>
      </c>
      <c r="K53" s="99"/>
      <c r="L53" s="99" t="s">
        <v>97</v>
      </c>
      <c r="M53" s="99" t="s">
        <v>17</v>
      </c>
      <c r="N53" s="99" t="s">
        <v>701</v>
      </c>
      <c r="O53" s="156" t="s">
        <v>129</v>
      </c>
      <c r="P53" s="157" t="s">
        <v>214</v>
      </c>
      <c r="Q53" s="149">
        <v>2024</v>
      </c>
      <c r="R53" s="158">
        <f t="shared" si="0"/>
        <v>45537</v>
      </c>
    </row>
    <row r="54" spans="1:18">
      <c r="A54" s="98">
        <v>45537</v>
      </c>
      <c r="B54" s="99" t="s">
        <v>31</v>
      </c>
      <c r="C54" s="99">
        <v>3</v>
      </c>
      <c r="D54" s="100" t="s">
        <v>726</v>
      </c>
      <c r="E54" s="101" t="s">
        <v>227</v>
      </c>
      <c r="F54" s="99">
        <v>42</v>
      </c>
      <c r="G54" s="99" t="s">
        <v>17</v>
      </c>
      <c r="H54" s="99" t="s">
        <v>700</v>
      </c>
      <c r="I54" s="104" t="s">
        <v>73</v>
      </c>
      <c r="J54" s="100" t="s">
        <v>225</v>
      </c>
      <c r="K54" s="99"/>
      <c r="L54" s="99" t="s">
        <v>228</v>
      </c>
      <c r="M54" s="99" t="s">
        <v>17</v>
      </c>
      <c r="N54" s="99" t="s">
        <v>700</v>
      </c>
      <c r="O54" s="156" t="s">
        <v>129</v>
      </c>
      <c r="P54" s="157" t="s">
        <v>214</v>
      </c>
      <c r="Q54" s="149">
        <v>2024</v>
      </c>
      <c r="R54" s="158">
        <f t="shared" si="0"/>
        <v>45537</v>
      </c>
    </row>
    <row r="55" spans="1:18">
      <c r="A55" s="98">
        <v>45537</v>
      </c>
      <c r="B55" s="99" t="s">
        <v>31</v>
      </c>
      <c r="C55" s="99">
        <v>3</v>
      </c>
      <c r="D55" s="100" t="s">
        <v>211</v>
      </c>
      <c r="E55" s="101" t="s">
        <v>231</v>
      </c>
      <c r="F55" s="99">
        <v>113</v>
      </c>
      <c r="G55" s="99" t="s">
        <v>17</v>
      </c>
      <c r="H55" s="99" t="s">
        <v>701</v>
      </c>
      <c r="I55" s="104" t="s">
        <v>49</v>
      </c>
      <c r="J55" s="100" t="s">
        <v>230</v>
      </c>
      <c r="K55" s="99"/>
      <c r="L55" s="99" t="s">
        <v>17</v>
      </c>
      <c r="M55" s="99" t="s">
        <v>17</v>
      </c>
      <c r="N55" s="99" t="s">
        <v>701</v>
      </c>
      <c r="O55" s="156" t="s">
        <v>129</v>
      </c>
      <c r="P55" s="157" t="s">
        <v>214</v>
      </c>
      <c r="Q55" s="149">
        <v>2024</v>
      </c>
      <c r="R55" s="158">
        <f t="shared" si="0"/>
        <v>45537</v>
      </c>
    </row>
    <row r="56" spans="1:18">
      <c r="A56" s="98">
        <v>45537</v>
      </c>
      <c r="B56" s="99" t="s">
        <v>31</v>
      </c>
      <c r="C56" s="99">
        <v>3</v>
      </c>
      <c r="D56" s="100" t="s">
        <v>727</v>
      </c>
      <c r="E56" s="97" t="s">
        <v>234</v>
      </c>
      <c r="F56" s="99">
        <v>3</v>
      </c>
      <c r="G56" s="99" t="s">
        <v>17</v>
      </c>
      <c r="H56" s="99" t="s">
        <v>700</v>
      </c>
      <c r="I56" s="104" t="s">
        <v>53</v>
      </c>
      <c r="J56" s="100" t="s">
        <v>232</v>
      </c>
      <c r="K56" s="99"/>
      <c r="L56" s="99" t="s">
        <v>17</v>
      </c>
      <c r="M56" s="99" t="s">
        <v>17</v>
      </c>
      <c r="N56" s="99" t="s">
        <v>700</v>
      </c>
      <c r="O56" s="156" t="s">
        <v>129</v>
      </c>
      <c r="P56" s="157" t="s">
        <v>214</v>
      </c>
      <c r="Q56" s="149">
        <v>2024</v>
      </c>
      <c r="R56" s="158">
        <f t="shared" si="0"/>
        <v>45537</v>
      </c>
    </row>
    <row r="57" spans="1:18">
      <c r="A57" s="98">
        <v>45537</v>
      </c>
      <c r="B57" s="99" t="s">
        <v>31</v>
      </c>
      <c r="C57" s="99">
        <v>3</v>
      </c>
      <c r="D57" s="100" t="s">
        <v>728</v>
      </c>
      <c r="E57" s="101" t="s">
        <v>237</v>
      </c>
      <c r="F57" s="99">
        <v>37</v>
      </c>
      <c r="G57" s="99" t="s">
        <v>17</v>
      </c>
      <c r="H57" s="99" t="s">
        <v>701</v>
      </c>
      <c r="I57" s="104" t="s">
        <v>24</v>
      </c>
      <c r="J57" s="100" t="s">
        <v>236</v>
      </c>
      <c r="K57" s="99"/>
      <c r="L57" s="99" t="s">
        <v>17</v>
      </c>
      <c r="M57" s="99" t="s">
        <v>17</v>
      </c>
      <c r="N57" s="99" t="s">
        <v>701</v>
      </c>
      <c r="O57" s="156" t="s">
        <v>129</v>
      </c>
      <c r="P57" s="157" t="s">
        <v>214</v>
      </c>
      <c r="Q57" s="149">
        <v>2024</v>
      </c>
      <c r="R57" s="158">
        <f t="shared" si="0"/>
        <v>45537</v>
      </c>
    </row>
    <row r="58" spans="1:18">
      <c r="A58" s="98">
        <v>45537</v>
      </c>
      <c r="B58" s="99" t="s">
        <v>31</v>
      </c>
      <c r="C58" s="99">
        <v>3</v>
      </c>
      <c r="D58" s="100" t="s">
        <v>729</v>
      </c>
      <c r="E58" s="101" t="s">
        <v>240</v>
      </c>
      <c r="F58" s="99">
        <v>67</v>
      </c>
      <c r="G58" s="99" t="s">
        <v>17</v>
      </c>
      <c r="H58" s="99" t="s">
        <v>701</v>
      </c>
      <c r="I58" s="104" t="s">
        <v>135</v>
      </c>
      <c r="J58" s="100" t="s">
        <v>239</v>
      </c>
      <c r="K58" s="99"/>
      <c r="L58" s="99" t="s">
        <v>17</v>
      </c>
      <c r="M58" s="99" t="s">
        <v>17</v>
      </c>
      <c r="N58" s="99" t="s">
        <v>701</v>
      </c>
      <c r="O58" s="156" t="s">
        <v>129</v>
      </c>
      <c r="P58" s="157" t="s">
        <v>214</v>
      </c>
      <c r="Q58" s="149">
        <v>2024</v>
      </c>
      <c r="R58" s="158">
        <f t="shared" si="0"/>
        <v>45537</v>
      </c>
    </row>
    <row r="59" spans="1:18">
      <c r="A59" s="98">
        <v>45537</v>
      </c>
      <c r="B59" s="99" t="s">
        <v>31</v>
      </c>
      <c r="C59" s="99">
        <v>3</v>
      </c>
      <c r="D59" s="100" t="s">
        <v>245</v>
      </c>
      <c r="E59" s="101" t="s">
        <v>244</v>
      </c>
      <c r="F59" s="99">
        <v>124</v>
      </c>
      <c r="G59" s="99" t="s">
        <v>17</v>
      </c>
      <c r="H59" s="99" t="s">
        <v>701</v>
      </c>
      <c r="I59" s="104" t="s">
        <v>104</v>
      </c>
      <c r="J59" s="100" t="s">
        <v>243</v>
      </c>
      <c r="K59" s="99"/>
      <c r="L59" s="99" t="s">
        <v>17</v>
      </c>
      <c r="M59" s="99" t="s">
        <v>17</v>
      </c>
      <c r="N59" s="99" t="s">
        <v>701</v>
      </c>
      <c r="O59" s="156" t="s">
        <v>129</v>
      </c>
      <c r="P59" s="157" t="s">
        <v>214</v>
      </c>
      <c r="Q59" s="149">
        <v>2024</v>
      </c>
      <c r="R59" s="158">
        <f t="shared" si="0"/>
        <v>45537</v>
      </c>
    </row>
    <row r="60" spans="1:18">
      <c r="A60" s="98">
        <v>45537</v>
      </c>
      <c r="B60" s="99" t="s">
        <v>31</v>
      </c>
      <c r="C60" s="99">
        <v>3</v>
      </c>
      <c r="D60" s="100" t="s">
        <v>730</v>
      </c>
      <c r="E60" s="101" t="s">
        <v>250</v>
      </c>
      <c r="F60" s="99">
        <v>7</v>
      </c>
      <c r="G60" s="99" t="s">
        <v>17</v>
      </c>
      <c r="H60" s="99" t="s">
        <v>731</v>
      </c>
      <c r="I60" s="104" t="s">
        <v>39</v>
      </c>
      <c r="J60" s="100" t="s">
        <v>249</v>
      </c>
      <c r="K60" s="99"/>
      <c r="L60" s="99" t="s">
        <v>251</v>
      </c>
      <c r="M60" s="99" t="s">
        <v>17</v>
      </c>
      <c r="N60" s="99" t="s">
        <v>731</v>
      </c>
      <c r="O60" s="156" t="s">
        <v>129</v>
      </c>
      <c r="P60" s="157" t="s">
        <v>214</v>
      </c>
      <c r="Q60" s="149">
        <v>2024</v>
      </c>
      <c r="R60" s="158">
        <f t="shared" si="0"/>
        <v>45537</v>
      </c>
    </row>
    <row r="61" spans="1:18">
      <c r="A61" s="98">
        <v>45537</v>
      </c>
      <c r="B61" s="99" t="s">
        <v>31</v>
      </c>
      <c r="C61" s="99">
        <v>3</v>
      </c>
      <c r="D61" s="100" t="s">
        <v>253</v>
      </c>
      <c r="E61" s="101" t="s">
        <v>254</v>
      </c>
      <c r="F61" s="99">
        <v>237</v>
      </c>
      <c r="G61" s="99" t="s">
        <v>17</v>
      </c>
      <c r="H61" s="99" t="s">
        <v>701</v>
      </c>
      <c r="I61" s="104" t="s">
        <v>39</v>
      </c>
      <c r="J61" s="100" t="s">
        <v>249</v>
      </c>
      <c r="K61" s="99"/>
      <c r="L61" s="99" t="s">
        <v>255</v>
      </c>
      <c r="M61" s="99" t="s">
        <v>17</v>
      </c>
      <c r="N61" s="99" t="s">
        <v>701</v>
      </c>
      <c r="O61" s="156" t="s">
        <v>129</v>
      </c>
      <c r="P61" s="157" t="s">
        <v>214</v>
      </c>
      <c r="Q61" s="149">
        <v>2024</v>
      </c>
      <c r="R61" s="158">
        <f t="shared" si="0"/>
        <v>45537</v>
      </c>
    </row>
    <row r="62" spans="1:18">
      <c r="A62" s="98">
        <v>45537</v>
      </c>
      <c r="B62" s="99" t="s">
        <v>31</v>
      </c>
      <c r="C62" s="99">
        <v>3</v>
      </c>
      <c r="D62" s="100" t="s">
        <v>732</v>
      </c>
      <c r="E62" s="101" t="s">
        <v>258</v>
      </c>
      <c r="F62" s="99">
        <v>14</v>
      </c>
      <c r="G62" s="99" t="s">
        <v>17</v>
      </c>
      <c r="H62" s="99" t="s">
        <v>700</v>
      </c>
      <c r="I62" s="104" t="s">
        <v>39</v>
      </c>
      <c r="J62" s="100" t="s">
        <v>249</v>
      </c>
      <c r="K62" s="99"/>
      <c r="L62" s="99" t="s">
        <v>259</v>
      </c>
      <c r="M62" s="99" t="s">
        <v>17</v>
      </c>
      <c r="N62" s="99" t="s">
        <v>700</v>
      </c>
      <c r="O62" s="156" t="s">
        <v>129</v>
      </c>
      <c r="P62" s="157" t="s">
        <v>214</v>
      </c>
      <c r="Q62" s="149">
        <v>2024</v>
      </c>
      <c r="R62" s="158">
        <f t="shared" si="0"/>
        <v>45537</v>
      </c>
    </row>
    <row r="63" spans="1:18">
      <c r="A63" s="98">
        <v>45537</v>
      </c>
      <c r="B63" s="99" t="s">
        <v>31</v>
      </c>
      <c r="C63" s="99">
        <v>3</v>
      </c>
      <c r="D63" s="100" t="s">
        <v>261</v>
      </c>
      <c r="E63" s="101" t="s">
        <v>244</v>
      </c>
      <c r="F63" s="99">
        <v>16</v>
      </c>
      <c r="G63" s="99" t="s">
        <v>17</v>
      </c>
      <c r="H63" s="99" t="s">
        <v>701</v>
      </c>
      <c r="I63" s="106" t="s">
        <v>104</v>
      </c>
      <c r="J63" s="100" t="s">
        <v>243</v>
      </c>
      <c r="K63" s="99"/>
      <c r="L63" s="99" t="s">
        <v>17</v>
      </c>
      <c r="M63" s="99" t="s">
        <v>17</v>
      </c>
      <c r="N63" s="99" t="s">
        <v>701</v>
      </c>
      <c r="O63" s="156" t="s">
        <v>129</v>
      </c>
      <c r="P63" s="157" t="s">
        <v>214</v>
      </c>
      <c r="Q63" s="149">
        <v>2024</v>
      </c>
      <c r="R63" s="158">
        <f t="shared" si="0"/>
        <v>45537</v>
      </c>
    </row>
    <row r="64" spans="1:18">
      <c r="A64" s="98">
        <v>45537</v>
      </c>
      <c r="B64" s="99" t="s">
        <v>31</v>
      </c>
      <c r="C64" s="99">
        <v>3</v>
      </c>
      <c r="D64" s="104" t="s">
        <v>262</v>
      </c>
      <c r="E64" s="101" t="s">
        <v>264</v>
      </c>
      <c r="F64" s="99">
        <v>91</v>
      </c>
      <c r="G64" s="99" t="s">
        <v>17</v>
      </c>
      <c r="H64" s="99" t="s">
        <v>701</v>
      </c>
      <c r="I64" s="104" t="s">
        <v>63</v>
      </c>
      <c r="J64" s="100" t="s">
        <v>263</v>
      </c>
      <c r="K64" s="99"/>
      <c r="L64" s="99" t="s">
        <v>17</v>
      </c>
      <c r="M64" s="99" t="s">
        <v>17</v>
      </c>
      <c r="N64" s="99" t="s">
        <v>701</v>
      </c>
      <c r="O64" s="156" t="s">
        <v>129</v>
      </c>
      <c r="P64" s="157" t="s">
        <v>214</v>
      </c>
      <c r="Q64" s="149">
        <v>2024</v>
      </c>
      <c r="R64" s="158">
        <f t="shared" si="0"/>
        <v>45537</v>
      </c>
    </row>
    <row r="65" spans="1:18">
      <c r="A65" s="98">
        <v>45537</v>
      </c>
      <c r="B65" s="99" t="s">
        <v>31</v>
      </c>
      <c r="C65" s="99">
        <v>3</v>
      </c>
      <c r="D65" s="100" t="s">
        <v>733</v>
      </c>
      <c r="E65" s="101" t="s">
        <v>203</v>
      </c>
      <c r="F65" s="99">
        <v>107</v>
      </c>
      <c r="G65" s="99" t="s">
        <v>17</v>
      </c>
      <c r="H65" s="99" t="s">
        <v>701</v>
      </c>
      <c r="I65" s="104" t="s">
        <v>704</v>
      </c>
      <c r="J65" s="100" t="s">
        <v>268</v>
      </c>
      <c r="K65" s="99"/>
      <c r="L65" s="99" t="s">
        <v>17</v>
      </c>
      <c r="M65" s="99" t="s">
        <v>17</v>
      </c>
      <c r="N65" s="99" t="s">
        <v>701</v>
      </c>
      <c r="O65" s="156" t="s">
        <v>129</v>
      </c>
      <c r="P65" s="157" t="s">
        <v>214</v>
      </c>
      <c r="Q65" s="149">
        <v>2024</v>
      </c>
      <c r="R65" s="158">
        <f t="shared" si="0"/>
        <v>45537</v>
      </c>
    </row>
    <row r="66" spans="1:18">
      <c r="A66" s="98">
        <v>45537</v>
      </c>
      <c r="B66" s="99" t="s">
        <v>31</v>
      </c>
      <c r="C66" s="99">
        <v>3</v>
      </c>
      <c r="D66" s="100" t="s">
        <v>734</v>
      </c>
      <c r="E66" s="101" t="s">
        <v>271</v>
      </c>
      <c r="F66" s="99">
        <v>55</v>
      </c>
      <c r="G66" s="99" t="s">
        <v>17</v>
      </c>
      <c r="H66" s="99" t="s">
        <v>701</v>
      </c>
      <c r="I66" s="104" t="s">
        <v>163</v>
      </c>
      <c r="J66" s="100" t="s">
        <v>270</v>
      </c>
      <c r="K66" s="99"/>
      <c r="L66" s="99" t="s">
        <v>17</v>
      </c>
      <c r="M66" s="99" t="s">
        <v>17</v>
      </c>
      <c r="N66" s="99" t="s">
        <v>701</v>
      </c>
      <c r="O66" s="156" t="s">
        <v>129</v>
      </c>
      <c r="P66" s="157" t="s">
        <v>214</v>
      </c>
      <c r="Q66" s="149">
        <v>2024</v>
      </c>
      <c r="R66" s="158">
        <f t="shared" si="0"/>
        <v>45537</v>
      </c>
    </row>
    <row r="67" spans="1:18">
      <c r="A67" s="98">
        <v>45537</v>
      </c>
      <c r="B67" s="99" t="s">
        <v>87</v>
      </c>
      <c r="C67" s="99">
        <v>3</v>
      </c>
      <c r="D67" s="100" t="s">
        <v>273</v>
      </c>
      <c r="E67" s="101" t="s">
        <v>275</v>
      </c>
      <c r="F67" s="99">
        <v>143</v>
      </c>
      <c r="G67" s="99" t="s">
        <v>17</v>
      </c>
      <c r="H67" s="99" t="s">
        <v>701</v>
      </c>
      <c r="I67" s="104" t="s">
        <v>44</v>
      </c>
      <c r="J67" s="100" t="s">
        <v>274</v>
      </c>
      <c r="K67" s="99"/>
      <c r="L67" s="99" t="s">
        <v>276</v>
      </c>
      <c r="M67" s="99" t="s">
        <v>17</v>
      </c>
      <c r="N67" s="99" t="s">
        <v>701</v>
      </c>
      <c r="O67" s="156" t="s">
        <v>129</v>
      </c>
      <c r="P67" s="157" t="s">
        <v>214</v>
      </c>
      <c r="Q67" s="149">
        <v>2024</v>
      </c>
      <c r="R67" s="158">
        <f t="shared" si="0"/>
        <v>45537</v>
      </c>
    </row>
    <row r="68" spans="1:18">
      <c r="A68" s="98">
        <v>45537</v>
      </c>
      <c r="B68" s="99" t="s">
        <v>87</v>
      </c>
      <c r="C68" s="99">
        <v>3</v>
      </c>
      <c r="D68" s="100" t="s">
        <v>735</v>
      </c>
      <c r="E68" s="97" t="s">
        <v>118</v>
      </c>
      <c r="F68" s="99">
        <v>138</v>
      </c>
      <c r="G68" s="99" t="s">
        <v>17</v>
      </c>
      <c r="H68" s="99" t="s">
        <v>700</v>
      </c>
      <c r="I68" s="104" t="s">
        <v>44</v>
      </c>
      <c r="J68" s="100" t="s">
        <v>274</v>
      </c>
      <c r="K68" s="99"/>
      <c r="L68" s="99" t="s">
        <v>278</v>
      </c>
      <c r="M68" s="99" t="s">
        <v>17</v>
      </c>
      <c r="N68" s="99" t="s">
        <v>700</v>
      </c>
      <c r="O68" s="156" t="s">
        <v>129</v>
      </c>
      <c r="P68" s="157" t="s">
        <v>214</v>
      </c>
      <c r="Q68" s="149">
        <v>2024</v>
      </c>
      <c r="R68" s="158">
        <f t="shared" ref="R68:R131" si="1">DATE(2024,O68,P68)</f>
        <v>45537</v>
      </c>
    </row>
    <row r="69" spans="1:18">
      <c r="A69" s="98">
        <v>45537</v>
      </c>
      <c r="B69" s="99" t="s">
        <v>87</v>
      </c>
      <c r="C69" s="99">
        <v>3</v>
      </c>
      <c r="D69" s="100" t="s">
        <v>736</v>
      </c>
      <c r="E69" s="97" t="s">
        <v>79</v>
      </c>
      <c r="F69" s="99">
        <v>109</v>
      </c>
      <c r="G69" s="99" t="s">
        <v>17</v>
      </c>
      <c r="H69" s="99" t="s">
        <v>731</v>
      </c>
      <c r="I69" s="104" t="s">
        <v>44</v>
      </c>
      <c r="J69" s="100" t="s">
        <v>274</v>
      </c>
      <c r="K69" s="99"/>
      <c r="L69" s="99" t="s">
        <v>280</v>
      </c>
      <c r="M69" s="99" t="s">
        <v>17</v>
      </c>
      <c r="N69" s="99" t="s">
        <v>731</v>
      </c>
      <c r="O69" s="156" t="s">
        <v>129</v>
      </c>
      <c r="P69" s="157" t="s">
        <v>214</v>
      </c>
      <c r="Q69" s="149">
        <v>2024</v>
      </c>
      <c r="R69" s="158">
        <f t="shared" si="1"/>
        <v>45537</v>
      </c>
    </row>
    <row r="70" spans="1:18">
      <c r="A70" s="98">
        <v>45537</v>
      </c>
      <c r="B70" s="99" t="s">
        <v>87</v>
      </c>
      <c r="C70" s="99">
        <v>3</v>
      </c>
      <c r="D70" s="100" t="s">
        <v>737</v>
      </c>
      <c r="E70" s="97" t="s">
        <v>147</v>
      </c>
      <c r="F70" s="99">
        <v>17</v>
      </c>
      <c r="G70" s="99" t="s">
        <v>17</v>
      </c>
      <c r="H70" s="99" t="s">
        <v>700</v>
      </c>
      <c r="I70" s="104" t="s">
        <v>13</v>
      </c>
      <c r="J70" s="100" t="s">
        <v>282</v>
      </c>
      <c r="K70" s="99"/>
      <c r="L70" s="99" t="s">
        <v>17</v>
      </c>
      <c r="M70" s="99" t="s">
        <v>17</v>
      </c>
      <c r="N70" s="99" t="s">
        <v>700</v>
      </c>
      <c r="O70" s="156" t="s">
        <v>129</v>
      </c>
      <c r="P70" s="157" t="s">
        <v>214</v>
      </c>
      <c r="Q70" s="149">
        <v>2024</v>
      </c>
      <c r="R70" s="158">
        <f t="shared" si="1"/>
        <v>45537</v>
      </c>
    </row>
    <row r="71" spans="1:18">
      <c r="A71" s="98">
        <v>45537</v>
      </c>
      <c r="B71" s="99" t="s">
        <v>87</v>
      </c>
      <c r="C71" s="99">
        <v>3</v>
      </c>
      <c r="D71" s="100" t="s">
        <v>283</v>
      </c>
      <c r="E71" s="97" t="s">
        <v>284</v>
      </c>
      <c r="F71" s="99">
        <v>44</v>
      </c>
      <c r="G71" s="99" t="s">
        <v>17</v>
      </c>
      <c r="H71" s="99" t="s">
        <v>701</v>
      </c>
      <c r="I71" s="104" t="s">
        <v>13</v>
      </c>
      <c r="J71" s="100" t="s">
        <v>282</v>
      </c>
      <c r="K71" s="99"/>
      <c r="L71" s="99" t="s">
        <v>17</v>
      </c>
      <c r="M71" s="99" t="s">
        <v>17</v>
      </c>
      <c r="N71" s="99" t="s">
        <v>701</v>
      </c>
      <c r="O71" s="156" t="s">
        <v>129</v>
      </c>
      <c r="P71" s="157" t="s">
        <v>214</v>
      </c>
      <c r="Q71" s="149">
        <v>2024</v>
      </c>
      <c r="R71" s="158">
        <f t="shared" si="1"/>
        <v>45537</v>
      </c>
    </row>
    <row r="72" spans="1:18">
      <c r="A72" s="98">
        <v>45537</v>
      </c>
      <c r="B72" s="99" t="s">
        <v>87</v>
      </c>
      <c r="C72" s="99">
        <v>3</v>
      </c>
      <c r="D72" s="100" t="s">
        <v>286</v>
      </c>
      <c r="E72" s="97" t="s">
        <v>55</v>
      </c>
      <c r="F72" s="99">
        <v>784</v>
      </c>
      <c r="G72" s="99" t="s">
        <v>17</v>
      </c>
      <c r="H72" s="99" t="s">
        <v>701</v>
      </c>
      <c r="I72" s="104" t="s">
        <v>39</v>
      </c>
      <c r="J72" s="100" t="s">
        <v>287</v>
      </c>
      <c r="K72" s="99"/>
      <c r="L72" s="99" t="s">
        <v>36</v>
      </c>
      <c r="M72" s="99" t="s">
        <v>17</v>
      </c>
      <c r="N72" s="99" t="s">
        <v>701</v>
      </c>
      <c r="O72" s="156" t="s">
        <v>129</v>
      </c>
      <c r="P72" s="157" t="s">
        <v>214</v>
      </c>
      <c r="Q72" s="149">
        <v>2024</v>
      </c>
      <c r="R72" s="158">
        <f t="shared" si="1"/>
        <v>45537</v>
      </c>
    </row>
    <row r="73" spans="1:18">
      <c r="A73" s="98">
        <v>45537</v>
      </c>
      <c r="B73" s="99" t="s">
        <v>87</v>
      </c>
      <c r="C73" s="99">
        <v>3</v>
      </c>
      <c r="D73" s="100" t="s">
        <v>738</v>
      </c>
      <c r="E73" s="97" t="s">
        <v>294</v>
      </c>
      <c r="F73" s="99">
        <v>92</v>
      </c>
      <c r="G73" s="99" t="s">
        <v>17</v>
      </c>
      <c r="H73" s="99" t="s">
        <v>701</v>
      </c>
      <c r="I73" s="104" t="s">
        <v>77</v>
      </c>
      <c r="J73" s="100" t="s">
        <v>293</v>
      </c>
      <c r="K73" s="99"/>
      <c r="L73" s="99" t="s">
        <v>17</v>
      </c>
      <c r="M73" s="99" t="s">
        <v>17</v>
      </c>
      <c r="N73" s="99" t="s">
        <v>701</v>
      </c>
      <c r="O73" s="156" t="s">
        <v>129</v>
      </c>
      <c r="P73" s="157" t="s">
        <v>214</v>
      </c>
      <c r="Q73" s="149">
        <v>2024</v>
      </c>
      <c r="R73" s="158">
        <f t="shared" si="1"/>
        <v>45537</v>
      </c>
    </row>
    <row r="74" spans="1:18">
      <c r="A74" s="98">
        <v>45537</v>
      </c>
      <c r="B74" s="99" t="s">
        <v>87</v>
      </c>
      <c r="C74" s="99">
        <v>3</v>
      </c>
      <c r="D74" s="100" t="s">
        <v>211</v>
      </c>
      <c r="E74" s="101" t="s">
        <v>213</v>
      </c>
      <c r="F74" s="99">
        <v>73</v>
      </c>
      <c r="G74" s="99" t="s">
        <v>17</v>
      </c>
      <c r="H74" s="99" t="s">
        <v>701</v>
      </c>
      <c r="I74" s="104" t="s">
        <v>63</v>
      </c>
      <c r="J74" s="100" t="s">
        <v>297</v>
      </c>
      <c r="K74" s="99"/>
      <c r="L74" s="99" t="s">
        <v>17</v>
      </c>
      <c r="M74" s="99" t="s">
        <v>17</v>
      </c>
      <c r="N74" s="99" t="s">
        <v>701</v>
      </c>
      <c r="O74" s="156" t="s">
        <v>129</v>
      </c>
      <c r="P74" s="157" t="s">
        <v>214</v>
      </c>
      <c r="Q74" s="149">
        <v>2024</v>
      </c>
      <c r="R74" s="158">
        <f t="shared" si="1"/>
        <v>45537</v>
      </c>
    </row>
    <row r="75" spans="1:18">
      <c r="A75" s="98">
        <v>45537</v>
      </c>
      <c r="B75" s="99" t="s">
        <v>87</v>
      </c>
      <c r="C75" s="99">
        <v>3</v>
      </c>
      <c r="D75" s="100" t="s">
        <v>739</v>
      </c>
      <c r="E75" s="101" t="s">
        <v>237</v>
      </c>
      <c r="F75" s="99">
        <v>37</v>
      </c>
      <c r="G75" s="99" t="s">
        <v>711</v>
      </c>
      <c r="H75" s="99" t="s">
        <v>701</v>
      </c>
      <c r="I75" s="106" t="s">
        <v>104</v>
      </c>
      <c r="J75" s="100" t="s">
        <v>299</v>
      </c>
      <c r="K75" s="99"/>
      <c r="L75" s="99" t="s">
        <v>17</v>
      </c>
      <c r="M75" s="99" t="s">
        <v>711</v>
      </c>
      <c r="N75" s="99" t="s">
        <v>701</v>
      </c>
      <c r="O75" s="156" t="s">
        <v>129</v>
      </c>
      <c r="P75" s="157" t="s">
        <v>214</v>
      </c>
      <c r="Q75" s="149">
        <v>2024</v>
      </c>
      <c r="R75" s="158">
        <f t="shared" si="1"/>
        <v>45537</v>
      </c>
    </row>
    <row r="76" spans="1:18">
      <c r="A76" s="98">
        <v>45537</v>
      </c>
      <c r="B76" s="99" t="s">
        <v>87</v>
      </c>
      <c r="C76" s="99">
        <v>3</v>
      </c>
      <c r="D76" s="100" t="s">
        <v>740</v>
      </c>
      <c r="E76" s="101" t="s">
        <v>303</v>
      </c>
      <c r="F76" s="99">
        <v>24</v>
      </c>
      <c r="G76" s="99" t="s">
        <v>711</v>
      </c>
      <c r="H76" s="99" t="s">
        <v>701</v>
      </c>
      <c r="I76" s="104" t="s">
        <v>301</v>
      </c>
      <c r="J76" s="100" t="s">
        <v>302</v>
      </c>
      <c r="K76" s="99"/>
      <c r="L76" s="99" t="s">
        <v>17</v>
      </c>
      <c r="M76" s="99" t="s">
        <v>711</v>
      </c>
      <c r="N76" s="99" t="s">
        <v>701</v>
      </c>
      <c r="O76" s="156" t="s">
        <v>129</v>
      </c>
      <c r="P76" s="157" t="s">
        <v>214</v>
      </c>
      <c r="Q76" s="149">
        <v>2024</v>
      </c>
      <c r="R76" s="158">
        <f t="shared" si="1"/>
        <v>45537</v>
      </c>
    </row>
    <row r="77" spans="1:18">
      <c r="A77" s="98">
        <v>45537</v>
      </c>
      <c r="B77" s="99" t="s">
        <v>87</v>
      </c>
      <c r="C77" s="99">
        <v>3</v>
      </c>
      <c r="D77" s="100" t="s">
        <v>304</v>
      </c>
      <c r="E77" s="101" t="s">
        <v>306</v>
      </c>
      <c r="F77" s="99">
        <v>91</v>
      </c>
      <c r="G77" s="99" t="s">
        <v>17</v>
      </c>
      <c r="H77" s="99" t="s">
        <v>701</v>
      </c>
      <c r="I77" s="104" t="s">
        <v>49</v>
      </c>
      <c r="J77" s="100" t="s">
        <v>305</v>
      </c>
      <c r="K77" s="99"/>
      <c r="L77" s="99" t="s">
        <v>17</v>
      </c>
      <c r="M77" s="99" t="s">
        <v>17</v>
      </c>
      <c r="N77" s="99" t="s">
        <v>701</v>
      </c>
      <c r="O77" s="156" t="s">
        <v>129</v>
      </c>
      <c r="P77" s="157" t="s">
        <v>214</v>
      </c>
      <c r="Q77" s="149">
        <v>2024</v>
      </c>
      <c r="R77" s="158">
        <f t="shared" si="1"/>
        <v>45537</v>
      </c>
    </row>
    <row r="78" spans="1:18">
      <c r="A78" s="98">
        <v>45537</v>
      </c>
      <c r="B78" s="99" t="s">
        <v>87</v>
      </c>
      <c r="C78" s="99">
        <v>3</v>
      </c>
      <c r="D78" s="100" t="s">
        <v>741</v>
      </c>
      <c r="E78" s="101" t="s">
        <v>309</v>
      </c>
      <c r="F78" s="99">
        <v>7</v>
      </c>
      <c r="G78" s="99" t="s">
        <v>17</v>
      </c>
      <c r="H78" s="99" t="s">
        <v>700</v>
      </c>
      <c r="I78" s="104" t="s">
        <v>53</v>
      </c>
      <c r="J78" s="100" t="s">
        <v>307</v>
      </c>
      <c r="K78" s="99"/>
      <c r="L78" s="99" t="s">
        <v>17</v>
      </c>
      <c r="M78" s="99" t="s">
        <v>17</v>
      </c>
      <c r="N78" s="99" t="s">
        <v>700</v>
      </c>
      <c r="O78" s="156" t="s">
        <v>129</v>
      </c>
      <c r="P78" s="157" t="s">
        <v>214</v>
      </c>
      <c r="Q78" s="149">
        <v>2024</v>
      </c>
      <c r="R78" s="158">
        <f t="shared" si="1"/>
        <v>45537</v>
      </c>
    </row>
    <row r="79" spans="1:18">
      <c r="A79" s="98">
        <v>45537</v>
      </c>
      <c r="B79" s="99" t="s">
        <v>87</v>
      </c>
      <c r="C79" s="99">
        <v>3</v>
      </c>
      <c r="D79" s="100" t="s">
        <v>269</v>
      </c>
      <c r="E79" s="101" t="s">
        <v>271</v>
      </c>
      <c r="F79" s="99">
        <v>55</v>
      </c>
      <c r="G79" s="99" t="s">
        <v>17</v>
      </c>
      <c r="H79" s="99" t="s">
        <v>701</v>
      </c>
      <c r="I79" s="104" t="s">
        <v>246</v>
      </c>
      <c r="J79" s="100" t="s">
        <v>311</v>
      </c>
      <c r="K79" s="99"/>
      <c r="L79" s="99" t="s">
        <v>17</v>
      </c>
      <c r="M79" s="99" t="s">
        <v>17</v>
      </c>
      <c r="N79" s="99" t="s">
        <v>701</v>
      </c>
      <c r="O79" s="156" t="s">
        <v>129</v>
      </c>
      <c r="P79" s="157" t="s">
        <v>214</v>
      </c>
      <c r="Q79" s="149">
        <v>2024</v>
      </c>
      <c r="R79" s="158">
        <f t="shared" si="1"/>
        <v>45537</v>
      </c>
    </row>
    <row r="80" spans="1:18">
      <c r="A80" s="98">
        <v>45537</v>
      </c>
      <c r="B80" s="99" t="s">
        <v>312</v>
      </c>
      <c r="C80" s="99">
        <v>4</v>
      </c>
      <c r="D80" s="100" t="s">
        <v>742</v>
      </c>
      <c r="E80" s="101" t="s">
        <v>254</v>
      </c>
      <c r="F80" s="99">
        <v>230</v>
      </c>
      <c r="G80" s="99" t="s">
        <v>17</v>
      </c>
      <c r="H80" s="99" t="s">
        <v>701</v>
      </c>
      <c r="I80" s="104" t="s">
        <v>266</v>
      </c>
      <c r="J80" s="100" t="s">
        <v>313</v>
      </c>
      <c r="K80" s="99"/>
      <c r="L80" s="99" t="s">
        <v>17</v>
      </c>
      <c r="M80" s="99" t="s">
        <v>17</v>
      </c>
      <c r="N80" s="99" t="s">
        <v>701</v>
      </c>
      <c r="O80" s="156" t="s">
        <v>129</v>
      </c>
      <c r="P80" s="157" t="s">
        <v>214</v>
      </c>
      <c r="Q80" s="149">
        <v>2024</v>
      </c>
      <c r="R80" s="158">
        <f t="shared" si="1"/>
        <v>45537</v>
      </c>
    </row>
    <row r="81" spans="1:18">
      <c r="A81" s="98">
        <v>45538</v>
      </c>
      <c r="B81" s="99" t="s">
        <v>11</v>
      </c>
      <c r="C81" s="99">
        <v>2</v>
      </c>
      <c r="D81" s="100" t="s">
        <v>321</v>
      </c>
      <c r="E81" s="101" t="s">
        <v>100</v>
      </c>
      <c r="F81" s="99">
        <v>55</v>
      </c>
      <c r="G81" s="99" t="s">
        <v>17</v>
      </c>
      <c r="H81" s="99" t="s">
        <v>701</v>
      </c>
      <c r="I81" s="104" t="s">
        <v>77</v>
      </c>
      <c r="J81" s="100" t="s">
        <v>322</v>
      </c>
      <c r="K81" s="99"/>
      <c r="L81" s="99" t="s">
        <v>17</v>
      </c>
      <c r="M81" s="99" t="s">
        <v>17</v>
      </c>
      <c r="N81" s="99" t="s">
        <v>701</v>
      </c>
      <c r="O81" s="156" t="s">
        <v>129</v>
      </c>
      <c r="P81" s="157" t="s">
        <v>323</v>
      </c>
      <c r="Q81" s="149">
        <v>2024</v>
      </c>
      <c r="R81" s="158">
        <f t="shared" si="1"/>
        <v>45538</v>
      </c>
    </row>
    <row r="82" spans="1:18">
      <c r="A82" s="98">
        <v>45538</v>
      </c>
      <c r="B82" s="99" t="s">
        <v>11</v>
      </c>
      <c r="C82" s="99">
        <v>2</v>
      </c>
      <c r="D82" s="100" t="s">
        <v>743</v>
      </c>
      <c r="E82" s="97" t="s">
        <v>325</v>
      </c>
      <c r="F82" s="99">
        <v>8</v>
      </c>
      <c r="G82" s="99" t="s">
        <v>17</v>
      </c>
      <c r="H82" s="99" t="s">
        <v>731</v>
      </c>
      <c r="I82" s="104" t="s">
        <v>77</v>
      </c>
      <c r="J82" s="100" t="s">
        <v>322</v>
      </c>
      <c r="K82" s="99"/>
      <c r="L82" s="99" t="s">
        <v>17</v>
      </c>
      <c r="M82" s="99" t="s">
        <v>17</v>
      </c>
      <c r="N82" s="99" t="s">
        <v>731</v>
      </c>
      <c r="O82" s="156" t="s">
        <v>129</v>
      </c>
      <c r="P82" s="157" t="s">
        <v>323</v>
      </c>
      <c r="Q82" s="149">
        <v>2024</v>
      </c>
      <c r="R82" s="158">
        <f t="shared" si="1"/>
        <v>45538</v>
      </c>
    </row>
    <row r="83" spans="1:18">
      <c r="A83" s="98">
        <v>45538</v>
      </c>
      <c r="B83" s="99" t="s">
        <v>11</v>
      </c>
      <c r="C83" s="99">
        <v>2</v>
      </c>
      <c r="D83" s="100" t="s">
        <v>744</v>
      </c>
      <c r="E83" s="97" t="s">
        <v>83</v>
      </c>
      <c r="F83" s="99">
        <v>9</v>
      </c>
      <c r="G83" s="99" t="s">
        <v>17</v>
      </c>
      <c r="H83" s="99" t="s">
        <v>700</v>
      </c>
      <c r="I83" s="104" t="s">
        <v>77</v>
      </c>
      <c r="J83" s="100" t="s">
        <v>322</v>
      </c>
      <c r="K83" s="99"/>
      <c r="L83" s="99" t="s">
        <v>17</v>
      </c>
      <c r="M83" s="99" t="s">
        <v>17</v>
      </c>
      <c r="N83" s="99" t="s">
        <v>700</v>
      </c>
      <c r="O83" s="156" t="s">
        <v>129</v>
      </c>
      <c r="P83" s="157" t="s">
        <v>323</v>
      </c>
      <c r="Q83" s="149">
        <v>2024</v>
      </c>
      <c r="R83" s="158">
        <f t="shared" si="1"/>
        <v>45538</v>
      </c>
    </row>
    <row r="84" spans="1:18">
      <c r="A84" s="98">
        <v>45538</v>
      </c>
      <c r="B84" s="99" t="s">
        <v>31</v>
      </c>
      <c r="C84" s="99">
        <v>3</v>
      </c>
      <c r="D84" s="100" t="s">
        <v>745</v>
      </c>
      <c r="E84" s="97" t="s">
        <v>331</v>
      </c>
      <c r="F84" s="99">
        <v>19</v>
      </c>
      <c r="G84" s="103" t="s">
        <v>17</v>
      </c>
      <c r="H84" s="99" t="s">
        <v>700</v>
      </c>
      <c r="I84" s="104" t="s">
        <v>49</v>
      </c>
      <c r="J84" s="100" t="s">
        <v>330</v>
      </c>
      <c r="K84" s="99"/>
      <c r="L84" s="103" t="s">
        <v>17</v>
      </c>
      <c r="M84" s="103" t="s">
        <v>17</v>
      </c>
      <c r="N84" s="99" t="s">
        <v>700</v>
      </c>
      <c r="O84" s="156" t="s">
        <v>129</v>
      </c>
      <c r="P84" s="157" t="s">
        <v>323</v>
      </c>
      <c r="Q84" s="149">
        <v>2024</v>
      </c>
      <c r="R84" s="158">
        <f t="shared" si="1"/>
        <v>45538</v>
      </c>
    </row>
    <row r="85" spans="1:18">
      <c r="A85" s="98">
        <v>45538</v>
      </c>
      <c r="B85" s="99" t="s">
        <v>31</v>
      </c>
      <c r="C85" s="99">
        <v>3</v>
      </c>
      <c r="D85" s="100" t="s">
        <v>332</v>
      </c>
      <c r="E85" s="101" t="s">
        <v>113</v>
      </c>
      <c r="F85" s="99">
        <v>42</v>
      </c>
      <c r="G85" s="99" t="s">
        <v>17</v>
      </c>
      <c r="H85" s="99" t="s">
        <v>701</v>
      </c>
      <c r="I85" s="106" t="s">
        <v>49</v>
      </c>
      <c r="J85" s="100" t="s">
        <v>330</v>
      </c>
      <c r="K85" s="99"/>
      <c r="L85" s="99" t="s">
        <v>17</v>
      </c>
      <c r="M85" s="99" t="s">
        <v>17</v>
      </c>
      <c r="N85" s="99" t="s">
        <v>701</v>
      </c>
      <c r="O85" s="156" t="s">
        <v>129</v>
      </c>
      <c r="P85" s="157" t="s">
        <v>323</v>
      </c>
      <c r="Q85" s="149">
        <v>2024</v>
      </c>
      <c r="R85" s="158">
        <f t="shared" si="1"/>
        <v>45538</v>
      </c>
    </row>
    <row r="86" spans="1:18">
      <c r="A86" s="98">
        <v>45538</v>
      </c>
      <c r="B86" s="99" t="s">
        <v>31</v>
      </c>
      <c r="C86" s="99">
        <v>3</v>
      </c>
      <c r="D86" s="100" t="s">
        <v>746</v>
      </c>
      <c r="E86" s="97" t="s">
        <v>336</v>
      </c>
      <c r="F86" s="99">
        <v>18</v>
      </c>
      <c r="G86" s="99" t="s">
        <v>17</v>
      </c>
      <c r="H86" s="99" t="s">
        <v>700</v>
      </c>
      <c r="I86" s="104" t="s">
        <v>13</v>
      </c>
      <c r="J86" s="100" t="s">
        <v>335</v>
      </c>
      <c r="K86" s="99"/>
      <c r="L86" s="99" t="s">
        <v>17</v>
      </c>
      <c r="M86" s="99" t="s">
        <v>17</v>
      </c>
      <c r="N86" s="99" t="s">
        <v>700</v>
      </c>
      <c r="O86" s="156" t="s">
        <v>129</v>
      </c>
      <c r="P86" s="157" t="s">
        <v>323</v>
      </c>
      <c r="Q86" s="149">
        <v>2024</v>
      </c>
      <c r="R86" s="158">
        <f t="shared" si="1"/>
        <v>45538</v>
      </c>
    </row>
    <row r="87" spans="1:18">
      <c r="A87" s="98">
        <v>45538</v>
      </c>
      <c r="B87" s="99" t="s">
        <v>31</v>
      </c>
      <c r="C87" s="99">
        <v>3</v>
      </c>
      <c r="D87" s="100" t="s">
        <v>338</v>
      </c>
      <c r="E87" s="97" t="s">
        <v>339</v>
      </c>
      <c r="F87" s="99">
        <v>52</v>
      </c>
      <c r="G87" s="99" t="s">
        <v>17</v>
      </c>
      <c r="H87" s="99" t="s">
        <v>701</v>
      </c>
      <c r="I87" s="104" t="s">
        <v>13</v>
      </c>
      <c r="J87" s="100" t="s">
        <v>335</v>
      </c>
      <c r="K87" s="99"/>
      <c r="L87" s="99" t="s">
        <v>17</v>
      </c>
      <c r="M87" s="99" t="s">
        <v>17</v>
      </c>
      <c r="N87" s="99" t="s">
        <v>701</v>
      </c>
      <c r="O87" s="156" t="s">
        <v>129</v>
      </c>
      <c r="P87" s="157" t="s">
        <v>323</v>
      </c>
      <c r="Q87" s="149">
        <v>2024</v>
      </c>
      <c r="R87" s="158">
        <f t="shared" si="1"/>
        <v>45538</v>
      </c>
    </row>
    <row r="88" spans="1:18">
      <c r="A88" s="98">
        <v>45538</v>
      </c>
      <c r="B88" s="99" t="s">
        <v>31</v>
      </c>
      <c r="C88" s="99">
        <v>3</v>
      </c>
      <c r="D88" s="100" t="s">
        <v>747</v>
      </c>
      <c r="E88" s="101" t="s">
        <v>237</v>
      </c>
      <c r="F88" s="99">
        <v>46</v>
      </c>
      <c r="G88" s="99" t="s">
        <v>711</v>
      </c>
      <c r="H88" s="99" t="s">
        <v>701</v>
      </c>
      <c r="I88" s="104" t="s">
        <v>53</v>
      </c>
      <c r="J88" s="100" t="s">
        <v>341</v>
      </c>
      <c r="K88" s="99"/>
      <c r="L88" s="99" t="s">
        <v>17</v>
      </c>
      <c r="M88" s="99" t="s">
        <v>711</v>
      </c>
      <c r="N88" s="99" t="s">
        <v>701</v>
      </c>
      <c r="O88" s="156" t="s">
        <v>129</v>
      </c>
      <c r="P88" s="157" t="s">
        <v>323</v>
      </c>
      <c r="Q88" s="149">
        <v>2024</v>
      </c>
      <c r="R88" s="158">
        <f t="shared" si="1"/>
        <v>45538</v>
      </c>
    </row>
    <row r="89" spans="1:18">
      <c r="A89" s="98">
        <v>45538</v>
      </c>
      <c r="B89" s="99" t="s">
        <v>31</v>
      </c>
      <c r="C89" s="99">
        <v>3</v>
      </c>
      <c r="D89" s="100" t="s">
        <v>748</v>
      </c>
      <c r="E89" s="101" t="s">
        <v>196</v>
      </c>
      <c r="F89" s="99">
        <v>21</v>
      </c>
      <c r="G89" s="99" t="s">
        <v>17</v>
      </c>
      <c r="H89" s="99" t="s">
        <v>701</v>
      </c>
      <c r="I89" s="104" t="s">
        <v>24</v>
      </c>
      <c r="J89" s="100" t="s">
        <v>195</v>
      </c>
      <c r="K89" s="99"/>
      <c r="L89" s="99" t="s">
        <v>17</v>
      </c>
      <c r="M89" s="99" t="s">
        <v>17</v>
      </c>
      <c r="N89" s="99" t="s">
        <v>701</v>
      </c>
      <c r="O89" s="156" t="s">
        <v>129</v>
      </c>
      <c r="P89" s="157" t="s">
        <v>323</v>
      </c>
      <c r="Q89" s="149">
        <v>2024</v>
      </c>
      <c r="R89" s="158">
        <f t="shared" si="1"/>
        <v>45538</v>
      </c>
    </row>
    <row r="90" spans="1:18">
      <c r="A90" s="98">
        <v>45538</v>
      </c>
      <c r="B90" s="99" t="s">
        <v>31</v>
      </c>
      <c r="C90" s="99">
        <v>3</v>
      </c>
      <c r="D90" s="100" t="s">
        <v>343</v>
      </c>
      <c r="E90" s="97" t="s">
        <v>345</v>
      </c>
      <c r="F90" s="99">
        <v>44</v>
      </c>
      <c r="G90" s="99" t="s">
        <v>17</v>
      </c>
      <c r="H90" s="99" t="s">
        <v>701</v>
      </c>
      <c r="I90" s="104" t="s">
        <v>63</v>
      </c>
      <c r="J90" s="100" t="s">
        <v>344</v>
      </c>
      <c r="K90" s="99"/>
      <c r="L90" s="99" t="s">
        <v>17</v>
      </c>
      <c r="M90" s="99" t="s">
        <v>17</v>
      </c>
      <c r="N90" s="99" t="s">
        <v>701</v>
      </c>
      <c r="O90" s="156" t="s">
        <v>129</v>
      </c>
      <c r="P90" s="157" t="s">
        <v>323</v>
      </c>
      <c r="Q90" s="149">
        <v>2024</v>
      </c>
      <c r="R90" s="158">
        <f t="shared" si="1"/>
        <v>45538</v>
      </c>
    </row>
    <row r="91" spans="1:18">
      <c r="A91" s="98">
        <v>45538</v>
      </c>
      <c r="B91" s="99" t="s">
        <v>31</v>
      </c>
      <c r="C91" s="99">
        <v>3</v>
      </c>
      <c r="D91" s="100" t="s">
        <v>749</v>
      </c>
      <c r="E91" s="101" t="s">
        <v>349</v>
      </c>
      <c r="F91" s="99">
        <v>151</v>
      </c>
      <c r="G91" s="99" t="s">
        <v>17</v>
      </c>
      <c r="H91" s="99" t="s">
        <v>701</v>
      </c>
      <c r="I91" s="104" t="s">
        <v>73</v>
      </c>
      <c r="J91" s="100" t="s">
        <v>348</v>
      </c>
      <c r="K91" s="99"/>
      <c r="L91" s="99" t="s">
        <v>36</v>
      </c>
      <c r="M91" s="99" t="s">
        <v>17</v>
      </c>
      <c r="N91" s="99" t="s">
        <v>701</v>
      </c>
      <c r="O91" s="156" t="s">
        <v>129</v>
      </c>
      <c r="P91" s="157" t="s">
        <v>323</v>
      </c>
      <c r="Q91" s="149">
        <v>2024</v>
      </c>
      <c r="R91" s="158">
        <f t="shared" si="1"/>
        <v>45538</v>
      </c>
    </row>
    <row r="92" spans="1:18">
      <c r="A92" s="98">
        <v>45538</v>
      </c>
      <c r="B92" s="99" t="s">
        <v>31</v>
      </c>
      <c r="C92" s="99">
        <v>3</v>
      </c>
      <c r="D92" s="100" t="s">
        <v>750</v>
      </c>
      <c r="E92" s="101" t="s">
        <v>352</v>
      </c>
      <c r="F92" s="99">
        <v>49</v>
      </c>
      <c r="G92" s="99" t="s">
        <v>17</v>
      </c>
      <c r="H92" s="99" t="s">
        <v>701</v>
      </c>
      <c r="I92" s="104" t="s">
        <v>315</v>
      </c>
      <c r="J92" s="100" t="s">
        <v>69</v>
      </c>
      <c r="K92" s="99"/>
      <c r="L92" s="99" t="s">
        <v>17</v>
      </c>
      <c r="M92" s="99" t="s">
        <v>17</v>
      </c>
      <c r="N92" s="99" t="s">
        <v>701</v>
      </c>
      <c r="O92" s="156" t="s">
        <v>129</v>
      </c>
      <c r="P92" s="157" t="s">
        <v>323</v>
      </c>
      <c r="Q92" s="149">
        <v>2024</v>
      </c>
      <c r="R92" s="158">
        <f t="shared" si="1"/>
        <v>45538</v>
      </c>
    </row>
    <row r="93" spans="1:18">
      <c r="A93" s="98">
        <v>45538</v>
      </c>
      <c r="B93" s="99" t="s">
        <v>31</v>
      </c>
      <c r="C93" s="99">
        <v>3</v>
      </c>
      <c r="D93" s="100" t="s">
        <v>353</v>
      </c>
      <c r="E93" s="101" t="s">
        <v>317</v>
      </c>
      <c r="F93" s="99">
        <v>115</v>
      </c>
      <c r="G93" s="99" t="s">
        <v>17</v>
      </c>
      <c r="H93" s="99" t="s">
        <v>701</v>
      </c>
      <c r="I93" s="104" t="s">
        <v>33</v>
      </c>
      <c r="J93" s="100" t="s">
        <v>354</v>
      </c>
      <c r="K93" s="99"/>
      <c r="L93" s="99" t="s">
        <v>97</v>
      </c>
      <c r="M93" s="99" t="s">
        <v>17</v>
      </c>
      <c r="N93" s="99" t="s">
        <v>701</v>
      </c>
      <c r="O93" s="156" t="s">
        <v>129</v>
      </c>
      <c r="P93" s="157" t="s">
        <v>323</v>
      </c>
      <c r="Q93" s="149">
        <v>2024</v>
      </c>
      <c r="R93" s="158">
        <f t="shared" si="1"/>
        <v>45538</v>
      </c>
    </row>
    <row r="94" spans="1:18">
      <c r="A94" s="98">
        <v>45538</v>
      </c>
      <c r="B94" s="99" t="s">
        <v>31</v>
      </c>
      <c r="C94" s="99">
        <v>3</v>
      </c>
      <c r="D94" s="100" t="s">
        <v>751</v>
      </c>
      <c r="E94" s="101" t="s">
        <v>271</v>
      </c>
      <c r="F94" s="99">
        <v>49</v>
      </c>
      <c r="G94" s="99" t="s">
        <v>17</v>
      </c>
      <c r="H94" s="99" t="s">
        <v>700</v>
      </c>
      <c r="I94" s="104" t="s">
        <v>33</v>
      </c>
      <c r="J94" s="100" t="s">
        <v>354</v>
      </c>
      <c r="K94" s="99"/>
      <c r="L94" s="99" t="s">
        <v>356</v>
      </c>
      <c r="M94" s="99" t="s">
        <v>17</v>
      </c>
      <c r="N94" s="99" t="s">
        <v>700</v>
      </c>
      <c r="O94" s="156" t="s">
        <v>129</v>
      </c>
      <c r="P94" s="157" t="s">
        <v>323</v>
      </c>
      <c r="Q94" s="149">
        <v>2024</v>
      </c>
      <c r="R94" s="158">
        <f t="shared" si="1"/>
        <v>45538</v>
      </c>
    </row>
    <row r="95" spans="1:18">
      <c r="A95" s="98">
        <v>45538</v>
      </c>
      <c r="B95" s="99" t="s">
        <v>80</v>
      </c>
      <c r="C95" s="99">
        <v>2</v>
      </c>
      <c r="D95" s="100" t="s">
        <v>752</v>
      </c>
      <c r="E95" s="97" t="s">
        <v>339</v>
      </c>
      <c r="F95" s="99">
        <v>52</v>
      </c>
      <c r="G95" s="99" t="s">
        <v>17</v>
      </c>
      <c r="H95" s="99" t="s">
        <v>701</v>
      </c>
      <c r="I95" s="104" t="s">
        <v>163</v>
      </c>
      <c r="J95" s="100" t="s">
        <v>335</v>
      </c>
      <c r="K95" s="99"/>
      <c r="L95" s="99" t="s">
        <v>17</v>
      </c>
      <c r="M95" s="99" t="s">
        <v>17</v>
      </c>
      <c r="N95" s="99" t="s">
        <v>701</v>
      </c>
      <c r="O95" s="156" t="s">
        <v>129</v>
      </c>
      <c r="P95" s="157" t="s">
        <v>323</v>
      </c>
      <c r="Q95" s="149">
        <v>2024</v>
      </c>
      <c r="R95" s="158">
        <f t="shared" si="1"/>
        <v>45538</v>
      </c>
    </row>
    <row r="96" spans="1:18">
      <c r="A96" s="98">
        <v>45538</v>
      </c>
      <c r="B96" s="99" t="s">
        <v>80</v>
      </c>
      <c r="C96" s="99">
        <v>2</v>
      </c>
      <c r="D96" s="100" t="s">
        <v>358</v>
      </c>
      <c r="E96" s="97" t="s">
        <v>360</v>
      </c>
      <c r="F96" s="99">
        <v>173</v>
      </c>
      <c r="G96" s="99" t="s">
        <v>17</v>
      </c>
      <c r="H96" s="99" t="s">
        <v>701</v>
      </c>
      <c r="I96" s="104" t="s">
        <v>58</v>
      </c>
      <c r="J96" s="100" t="s">
        <v>359</v>
      </c>
      <c r="K96" s="99"/>
      <c r="L96" s="99" t="s">
        <v>173</v>
      </c>
      <c r="M96" s="99" t="s">
        <v>17</v>
      </c>
      <c r="N96" s="99" t="s">
        <v>701</v>
      </c>
      <c r="O96" s="156" t="s">
        <v>129</v>
      </c>
      <c r="P96" s="157" t="s">
        <v>323</v>
      </c>
      <c r="Q96" s="149">
        <v>2024</v>
      </c>
      <c r="R96" s="158">
        <f t="shared" si="1"/>
        <v>45538</v>
      </c>
    </row>
    <row r="97" spans="1:18">
      <c r="A97" s="98">
        <v>45538</v>
      </c>
      <c r="B97" s="99" t="s">
        <v>80</v>
      </c>
      <c r="C97" s="99">
        <v>2</v>
      </c>
      <c r="D97" s="100" t="s">
        <v>753</v>
      </c>
      <c r="E97" s="97" t="s">
        <v>21</v>
      </c>
      <c r="F97" s="99">
        <v>22</v>
      </c>
      <c r="G97" s="99" t="s">
        <v>17</v>
      </c>
      <c r="H97" s="99" t="s">
        <v>700</v>
      </c>
      <c r="I97" s="104" t="s">
        <v>58</v>
      </c>
      <c r="J97" s="100" t="s">
        <v>359</v>
      </c>
      <c r="K97" s="99"/>
      <c r="L97" s="99" t="s">
        <v>363</v>
      </c>
      <c r="M97" s="99" t="s">
        <v>17</v>
      </c>
      <c r="N97" s="99" t="s">
        <v>700</v>
      </c>
      <c r="O97" s="156" t="s">
        <v>129</v>
      </c>
      <c r="P97" s="157" t="s">
        <v>323</v>
      </c>
      <c r="Q97" s="149">
        <v>2024</v>
      </c>
      <c r="R97" s="158">
        <f t="shared" si="1"/>
        <v>45538</v>
      </c>
    </row>
    <row r="98" spans="1:18">
      <c r="A98" s="98">
        <v>45538</v>
      </c>
      <c r="B98" s="99" t="s">
        <v>87</v>
      </c>
      <c r="C98" s="99">
        <v>3</v>
      </c>
      <c r="D98" s="100" t="s">
        <v>365</v>
      </c>
      <c r="E98" s="97" t="s">
        <v>336</v>
      </c>
      <c r="F98" s="99">
        <v>83</v>
      </c>
      <c r="G98" s="99" t="s">
        <v>17</v>
      </c>
      <c r="H98" s="99" t="s">
        <v>701</v>
      </c>
      <c r="I98" s="104" t="s">
        <v>77</v>
      </c>
      <c r="J98" s="100" t="s">
        <v>366</v>
      </c>
      <c r="K98" s="99"/>
      <c r="L98" s="99" t="s">
        <v>17</v>
      </c>
      <c r="M98" s="99" t="s">
        <v>17</v>
      </c>
      <c r="N98" s="99" t="s">
        <v>701</v>
      </c>
      <c r="O98" s="156" t="s">
        <v>129</v>
      </c>
      <c r="P98" s="157" t="s">
        <v>323</v>
      </c>
      <c r="Q98" s="149">
        <v>2024</v>
      </c>
      <c r="R98" s="158">
        <f t="shared" si="1"/>
        <v>45538</v>
      </c>
    </row>
    <row r="99" spans="1:18">
      <c r="A99" s="98">
        <v>45538</v>
      </c>
      <c r="B99" s="99" t="s">
        <v>87</v>
      </c>
      <c r="C99" s="99">
        <v>3</v>
      </c>
      <c r="D99" s="100" t="s">
        <v>754</v>
      </c>
      <c r="E99" s="97" t="s">
        <v>368</v>
      </c>
      <c r="F99" s="99">
        <v>2</v>
      </c>
      <c r="G99" s="99" t="s">
        <v>17</v>
      </c>
      <c r="H99" s="99" t="s">
        <v>700</v>
      </c>
      <c r="I99" s="104" t="s">
        <v>77</v>
      </c>
      <c r="J99" s="100" t="s">
        <v>366</v>
      </c>
      <c r="K99" s="99"/>
      <c r="L99" s="99" t="s">
        <v>17</v>
      </c>
      <c r="M99" s="99" t="s">
        <v>17</v>
      </c>
      <c r="N99" s="99" t="s">
        <v>700</v>
      </c>
      <c r="O99" s="156" t="s">
        <v>129</v>
      </c>
      <c r="P99" s="157" t="s">
        <v>323</v>
      </c>
      <c r="Q99" s="149">
        <v>2024</v>
      </c>
      <c r="R99" s="158">
        <f t="shared" si="1"/>
        <v>45538</v>
      </c>
    </row>
    <row r="100" spans="1:18">
      <c r="A100" s="98">
        <v>45538</v>
      </c>
      <c r="B100" s="99" t="s">
        <v>87</v>
      </c>
      <c r="C100" s="99">
        <v>3</v>
      </c>
      <c r="D100" s="100" t="s">
        <v>755</v>
      </c>
      <c r="E100" s="97" t="s">
        <v>213</v>
      </c>
      <c r="F100" s="99">
        <v>126</v>
      </c>
      <c r="G100" s="99" t="s">
        <v>17</v>
      </c>
      <c r="H100" s="99" t="s">
        <v>701</v>
      </c>
      <c r="I100" s="104" t="s">
        <v>33</v>
      </c>
      <c r="J100" s="100" t="s">
        <v>371</v>
      </c>
      <c r="K100" s="99"/>
      <c r="L100" s="99" t="s">
        <v>173</v>
      </c>
      <c r="M100" s="99" t="s">
        <v>17</v>
      </c>
      <c r="N100" s="99" t="s">
        <v>701</v>
      </c>
      <c r="O100" s="156" t="s">
        <v>129</v>
      </c>
      <c r="P100" s="157" t="s">
        <v>323</v>
      </c>
      <c r="Q100" s="149">
        <v>2024</v>
      </c>
      <c r="R100" s="158">
        <f t="shared" si="1"/>
        <v>45538</v>
      </c>
    </row>
    <row r="101" spans="1:18">
      <c r="A101" s="98">
        <v>45538</v>
      </c>
      <c r="B101" s="99" t="s">
        <v>87</v>
      </c>
      <c r="C101" s="99">
        <v>3</v>
      </c>
      <c r="D101" s="100" t="s">
        <v>756</v>
      </c>
      <c r="E101" s="97" t="s">
        <v>237</v>
      </c>
      <c r="F101" s="99">
        <v>146</v>
      </c>
      <c r="G101" s="99" t="s">
        <v>711</v>
      </c>
      <c r="H101" s="99" t="s">
        <v>701</v>
      </c>
      <c r="I101" s="104" t="s">
        <v>27</v>
      </c>
      <c r="J101" s="100" t="s">
        <v>236</v>
      </c>
      <c r="K101" s="99"/>
      <c r="L101" s="99" t="s">
        <v>17</v>
      </c>
      <c r="M101" s="99" t="s">
        <v>711</v>
      </c>
      <c r="N101" s="99" t="s">
        <v>701</v>
      </c>
      <c r="O101" s="156" t="s">
        <v>129</v>
      </c>
      <c r="P101" s="157" t="s">
        <v>323</v>
      </c>
      <c r="Q101" s="149">
        <v>2024</v>
      </c>
      <c r="R101" s="158">
        <f t="shared" si="1"/>
        <v>45538</v>
      </c>
    </row>
    <row r="102" spans="1:18">
      <c r="A102" s="98">
        <v>45538</v>
      </c>
      <c r="B102" s="99" t="s">
        <v>87</v>
      </c>
      <c r="C102" s="99">
        <v>3</v>
      </c>
      <c r="D102" s="100" t="s">
        <v>757</v>
      </c>
      <c r="E102" s="101" t="s">
        <v>376</v>
      </c>
      <c r="F102" s="99">
        <v>12</v>
      </c>
      <c r="G102" s="99" t="s">
        <v>711</v>
      </c>
      <c r="H102" s="99" t="s">
        <v>701</v>
      </c>
      <c r="I102" s="104" t="s">
        <v>13</v>
      </c>
      <c r="J102" s="100" t="s">
        <v>375</v>
      </c>
      <c r="K102" s="99"/>
      <c r="L102" s="99" t="s">
        <v>17</v>
      </c>
      <c r="M102" s="99" t="s">
        <v>711</v>
      </c>
      <c r="N102" s="99" t="s">
        <v>701</v>
      </c>
      <c r="O102" s="156" t="s">
        <v>129</v>
      </c>
      <c r="P102" s="157" t="s">
        <v>323</v>
      </c>
      <c r="Q102" s="149">
        <v>2024</v>
      </c>
      <c r="R102" s="158">
        <f t="shared" si="1"/>
        <v>45538</v>
      </c>
    </row>
    <row r="103" spans="1:18">
      <c r="A103" s="98">
        <v>45538</v>
      </c>
      <c r="B103" s="99" t="s">
        <v>87</v>
      </c>
      <c r="C103" s="99">
        <v>3</v>
      </c>
      <c r="D103" s="100" t="s">
        <v>758</v>
      </c>
      <c r="E103" s="101" t="s">
        <v>349</v>
      </c>
      <c r="F103" s="99">
        <v>117</v>
      </c>
      <c r="G103" s="99" t="s">
        <v>17</v>
      </c>
      <c r="H103" s="99" t="s">
        <v>701</v>
      </c>
      <c r="I103" s="104" t="s">
        <v>73</v>
      </c>
      <c r="J103" s="100" t="s">
        <v>378</v>
      </c>
      <c r="K103" s="99"/>
      <c r="L103" s="99" t="s">
        <v>97</v>
      </c>
      <c r="M103" s="99" t="s">
        <v>17</v>
      </c>
      <c r="N103" s="99" t="s">
        <v>701</v>
      </c>
      <c r="O103" s="156" t="s">
        <v>129</v>
      </c>
      <c r="P103" s="157" t="s">
        <v>323</v>
      </c>
      <c r="Q103" s="149">
        <v>2024</v>
      </c>
      <c r="R103" s="158">
        <f t="shared" si="1"/>
        <v>45538</v>
      </c>
    </row>
    <row r="104" spans="1:18">
      <c r="A104" s="98">
        <v>45538</v>
      </c>
      <c r="B104" s="99" t="s">
        <v>87</v>
      </c>
      <c r="C104" s="99">
        <v>3</v>
      </c>
      <c r="D104" s="100" t="s">
        <v>759</v>
      </c>
      <c r="E104" s="101" t="s">
        <v>381</v>
      </c>
      <c r="F104" s="99">
        <v>24</v>
      </c>
      <c r="G104" s="99" t="s">
        <v>17</v>
      </c>
      <c r="H104" s="99" t="s">
        <v>700</v>
      </c>
      <c r="I104" s="104" t="s">
        <v>73</v>
      </c>
      <c r="J104" s="100" t="s">
        <v>378</v>
      </c>
      <c r="K104" s="99"/>
      <c r="L104" s="99" t="s">
        <v>382</v>
      </c>
      <c r="M104" s="99" t="s">
        <v>17</v>
      </c>
      <c r="N104" s="99" t="s">
        <v>700</v>
      </c>
      <c r="O104" s="156" t="s">
        <v>129</v>
      </c>
      <c r="P104" s="157" t="s">
        <v>323</v>
      </c>
      <c r="Q104" s="149">
        <v>2024</v>
      </c>
      <c r="R104" s="158">
        <f t="shared" si="1"/>
        <v>45538</v>
      </c>
    </row>
    <row r="105" spans="1:18">
      <c r="A105" s="98">
        <v>45538</v>
      </c>
      <c r="B105" s="99" t="s">
        <v>312</v>
      </c>
      <c r="C105" s="99">
        <v>4</v>
      </c>
      <c r="D105" s="100" t="s">
        <v>760</v>
      </c>
      <c r="E105" s="97" t="s">
        <v>352</v>
      </c>
      <c r="F105" s="99">
        <v>49</v>
      </c>
      <c r="G105" s="99" t="s">
        <v>17</v>
      </c>
      <c r="H105" s="99" t="s">
        <v>701</v>
      </c>
      <c r="I105" s="104" t="s">
        <v>315</v>
      </c>
      <c r="J105" s="100" t="s">
        <v>69</v>
      </c>
      <c r="K105" s="99"/>
      <c r="L105" s="99" t="s">
        <v>17</v>
      </c>
      <c r="M105" s="99" t="s">
        <v>17</v>
      </c>
      <c r="N105" s="99" t="s">
        <v>701</v>
      </c>
      <c r="O105" s="156" t="s">
        <v>129</v>
      </c>
      <c r="P105" s="157" t="s">
        <v>323</v>
      </c>
      <c r="Q105" s="149">
        <v>2024</v>
      </c>
      <c r="R105" s="158">
        <f t="shared" si="1"/>
        <v>45538</v>
      </c>
    </row>
    <row r="106" spans="1:18">
      <c r="A106" s="98">
        <v>45539</v>
      </c>
      <c r="B106" s="99" t="s">
        <v>11</v>
      </c>
      <c r="C106" s="99">
        <v>2</v>
      </c>
      <c r="D106" s="100" t="s">
        <v>384</v>
      </c>
      <c r="E106" s="97" t="s">
        <v>386</v>
      </c>
      <c r="F106" s="99">
        <v>20</v>
      </c>
      <c r="G106" s="99" t="s">
        <v>17</v>
      </c>
      <c r="H106" s="99" t="s">
        <v>701</v>
      </c>
      <c r="I106" s="104" t="s">
        <v>49</v>
      </c>
      <c r="J106" s="100" t="s">
        <v>385</v>
      </c>
      <c r="K106" s="99"/>
      <c r="L106" s="99" t="s">
        <v>17</v>
      </c>
      <c r="M106" s="99" t="s">
        <v>17</v>
      </c>
      <c r="N106" s="99" t="s">
        <v>701</v>
      </c>
      <c r="O106" s="156" t="s">
        <v>129</v>
      </c>
      <c r="P106" s="157" t="s">
        <v>387</v>
      </c>
      <c r="Q106" s="149">
        <v>2024</v>
      </c>
      <c r="R106" s="158">
        <f t="shared" si="1"/>
        <v>45539</v>
      </c>
    </row>
    <row r="107" spans="1:18">
      <c r="A107" s="98">
        <v>45539</v>
      </c>
      <c r="B107" s="99" t="s">
        <v>31</v>
      </c>
      <c r="C107" s="99">
        <v>3</v>
      </c>
      <c r="D107" s="100" t="s">
        <v>761</v>
      </c>
      <c r="E107" s="97" t="s">
        <v>390</v>
      </c>
      <c r="F107" s="99">
        <v>63</v>
      </c>
      <c r="G107" s="99" t="s">
        <v>17</v>
      </c>
      <c r="H107" s="99" t="s">
        <v>701</v>
      </c>
      <c r="I107" s="100" t="s">
        <v>13</v>
      </c>
      <c r="J107" s="100" t="s">
        <v>389</v>
      </c>
      <c r="K107" s="99"/>
      <c r="L107" s="99" t="s">
        <v>17</v>
      </c>
      <c r="M107" s="99" t="s">
        <v>17</v>
      </c>
      <c r="N107" s="99" t="s">
        <v>701</v>
      </c>
      <c r="O107" s="156" t="s">
        <v>129</v>
      </c>
      <c r="P107" s="157" t="s">
        <v>387</v>
      </c>
      <c r="Q107" s="149">
        <v>2024</v>
      </c>
      <c r="R107" s="158">
        <f t="shared" si="1"/>
        <v>45539</v>
      </c>
    </row>
    <row r="108" spans="1:18">
      <c r="A108" s="98">
        <v>45539</v>
      </c>
      <c r="B108" s="99" t="s">
        <v>31</v>
      </c>
      <c r="C108" s="99">
        <v>3</v>
      </c>
      <c r="D108" s="100" t="s">
        <v>392</v>
      </c>
      <c r="E108" s="97" t="s">
        <v>394</v>
      </c>
      <c r="F108" s="99">
        <v>631</v>
      </c>
      <c r="G108" s="99" t="s">
        <v>17</v>
      </c>
      <c r="H108" s="99" t="s">
        <v>701</v>
      </c>
      <c r="I108" s="104" t="s">
        <v>44</v>
      </c>
      <c r="J108" s="100" t="s">
        <v>393</v>
      </c>
      <c r="K108" s="99"/>
      <c r="L108" s="99" t="s">
        <v>17</v>
      </c>
      <c r="M108" s="99" t="s">
        <v>17</v>
      </c>
      <c r="N108" s="99" t="s">
        <v>701</v>
      </c>
      <c r="O108" s="156" t="s">
        <v>129</v>
      </c>
      <c r="P108" s="157" t="s">
        <v>387</v>
      </c>
      <c r="Q108" s="149">
        <v>2024</v>
      </c>
      <c r="R108" s="158">
        <f t="shared" si="1"/>
        <v>45539</v>
      </c>
    </row>
    <row r="109" spans="1:18">
      <c r="A109" s="98">
        <v>45539</v>
      </c>
      <c r="B109" s="99" t="s">
        <v>31</v>
      </c>
      <c r="C109" s="99">
        <v>3</v>
      </c>
      <c r="D109" s="106" t="s">
        <v>762</v>
      </c>
      <c r="E109" s="97" t="s">
        <v>26</v>
      </c>
      <c r="F109" s="103">
        <v>11</v>
      </c>
      <c r="G109" s="99" t="s">
        <v>711</v>
      </c>
      <c r="H109" s="99" t="s">
        <v>701</v>
      </c>
      <c r="I109" s="104" t="s">
        <v>24</v>
      </c>
      <c r="J109" s="100" t="s">
        <v>195</v>
      </c>
      <c r="K109" s="103"/>
      <c r="L109" s="99" t="s">
        <v>17</v>
      </c>
      <c r="M109" s="99" t="s">
        <v>711</v>
      </c>
      <c r="N109" s="99" t="s">
        <v>701</v>
      </c>
      <c r="O109" s="156" t="s">
        <v>129</v>
      </c>
      <c r="P109" s="157" t="s">
        <v>387</v>
      </c>
      <c r="Q109" s="149">
        <v>2024</v>
      </c>
      <c r="R109" s="158">
        <f t="shared" si="1"/>
        <v>45539</v>
      </c>
    </row>
    <row r="110" spans="1:18">
      <c r="A110" s="98">
        <v>45539</v>
      </c>
      <c r="B110" s="99" t="s">
        <v>31</v>
      </c>
      <c r="C110" s="99">
        <v>3</v>
      </c>
      <c r="D110" s="100" t="s">
        <v>763</v>
      </c>
      <c r="E110" s="101" t="s">
        <v>401</v>
      </c>
      <c r="F110" s="99">
        <v>7</v>
      </c>
      <c r="G110" s="99" t="s">
        <v>17</v>
      </c>
      <c r="H110" s="99" t="s">
        <v>700</v>
      </c>
      <c r="I110" s="104" t="s">
        <v>77</v>
      </c>
      <c r="J110" s="100" t="s">
        <v>400</v>
      </c>
      <c r="K110" s="99"/>
      <c r="L110" s="99" t="s">
        <v>17</v>
      </c>
      <c r="M110" s="99" t="s">
        <v>17</v>
      </c>
      <c r="N110" s="99" t="s">
        <v>700</v>
      </c>
      <c r="O110" s="156" t="s">
        <v>129</v>
      </c>
      <c r="P110" s="157" t="s">
        <v>387</v>
      </c>
      <c r="Q110" s="149">
        <v>2024</v>
      </c>
      <c r="R110" s="158">
        <f t="shared" si="1"/>
        <v>45539</v>
      </c>
    </row>
    <row r="111" spans="1:18">
      <c r="A111" s="98">
        <v>45539</v>
      </c>
      <c r="B111" s="99" t="s">
        <v>31</v>
      </c>
      <c r="C111" s="99">
        <v>3</v>
      </c>
      <c r="D111" s="100" t="s">
        <v>159</v>
      </c>
      <c r="E111" s="101" t="s">
        <v>161</v>
      </c>
      <c r="F111" s="99">
        <v>75</v>
      </c>
      <c r="G111" s="99" t="s">
        <v>17</v>
      </c>
      <c r="H111" s="99" t="s">
        <v>701</v>
      </c>
      <c r="I111" s="104" t="s">
        <v>77</v>
      </c>
      <c r="J111" s="100" t="s">
        <v>400</v>
      </c>
      <c r="K111" s="99"/>
      <c r="L111" s="99" t="s">
        <v>17</v>
      </c>
      <c r="M111" s="99" t="s">
        <v>17</v>
      </c>
      <c r="N111" s="99" t="s">
        <v>701</v>
      </c>
      <c r="O111" s="156" t="s">
        <v>129</v>
      </c>
      <c r="P111" s="157" t="s">
        <v>387</v>
      </c>
      <c r="Q111" s="149">
        <v>2024</v>
      </c>
      <c r="R111" s="158">
        <f t="shared" si="1"/>
        <v>45539</v>
      </c>
    </row>
    <row r="112" spans="1:18">
      <c r="A112" s="98">
        <v>45539</v>
      </c>
      <c r="B112" s="99" t="s">
        <v>31</v>
      </c>
      <c r="C112" s="99">
        <v>3</v>
      </c>
      <c r="D112" s="100" t="s">
        <v>764</v>
      </c>
      <c r="E112" s="101" t="s">
        <v>349</v>
      </c>
      <c r="F112" s="99">
        <v>83</v>
      </c>
      <c r="G112" s="99" t="s">
        <v>17</v>
      </c>
      <c r="H112" s="99" t="s">
        <v>701</v>
      </c>
      <c r="I112" s="104" t="s">
        <v>27</v>
      </c>
      <c r="J112" s="100" t="s">
        <v>403</v>
      </c>
      <c r="K112" s="99"/>
      <c r="L112" s="99" t="s">
        <v>17</v>
      </c>
      <c r="M112" s="99" t="s">
        <v>17</v>
      </c>
      <c r="N112" s="99" t="s">
        <v>701</v>
      </c>
      <c r="O112" s="156" t="s">
        <v>129</v>
      </c>
      <c r="P112" s="157" t="s">
        <v>387</v>
      </c>
      <c r="Q112" s="149">
        <v>2024</v>
      </c>
      <c r="R112" s="158">
        <f t="shared" si="1"/>
        <v>45539</v>
      </c>
    </row>
    <row r="113" spans="1:18">
      <c r="A113" s="98">
        <v>45539</v>
      </c>
      <c r="B113" s="99" t="s">
        <v>31</v>
      </c>
      <c r="C113" s="99">
        <v>3</v>
      </c>
      <c r="D113" s="100" t="s">
        <v>765</v>
      </c>
      <c r="E113" s="101" t="s">
        <v>407</v>
      </c>
      <c r="F113" s="99">
        <v>41</v>
      </c>
      <c r="G113" s="99" t="s">
        <v>17</v>
      </c>
      <c r="H113" s="99" t="s">
        <v>701</v>
      </c>
      <c r="I113" s="104" t="s">
        <v>266</v>
      </c>
      <c r="J113" s="100" t="s">
        <v>406</v>
      </c>
      <c r="K113" s="99"/>
      <c r="L113" s="99" t="s">
        <v>17</v>
      </c>
      <c r="M113" s="99" t="s">
        <v>17</v>
      </c>
      <c r="N113" s="99" t="s">
        <v>701</v>
      </c>
      <c r="O113" s="156" t="s">
        <v>129</v>
      </c>
      <c r="P113" s="157" t="s">
        <v>387</v>
      </c>
      <c r="Q113" s="149">
        <v>2024</v>
      </c>
      <c r="R113" s="158">
        <f t="shared" si="1"/>
        <v>45539</v>
      </c>
    </row>
    <row r="114" spans="1:18">
      <c r="A114" s="98">
        <v>45539</v>
      </c>
      <c r="B114" s="99" t="s">
        <v>87</v>
      </c>
      <c r="C114" s="99">
        <v>3</v>
      </c>
      <c r="D114" s="100" t="s">
        <v>766</v>
      </c>
      <c r="E114" s="101" t="s">
        <v>410</v>
      </c>
      <c r="F114" s="99">
        <v>4</v>
      </c>
      <c r="G114" s="99" t="s">
        <v>17</v>
      </c>
      <c r="H114" s="99" t="s">
        <v>700</v>
      </c>
      <c r="I114" s="104" t="s">
        <v>13</v>
      </c>
      <c r="J114" s="100" t="s">
        <v>409</v>
      </c>
      <c r="K114" s="99"/>
      <c r="L114" s="99" t="s">
        <v>17</v>
      </c>
      <c r="M114" s="99" t="s">
        <v>17</v>
      </c>
      <c r="N114" s="99" t="s">
        <v>700</v>
      </c>
      <c r="O114" s="156" t="s">
        <v>129</v>
      </c>
      <c r="P114" s="157" t="s">
        <v>387</v>
      </c>
      <c r="Q114" s="149">
        <v>2024</v>
      </c>
      <c r="R114" s="158">
        <f t="shared" si="1"/>
        <v>45539</v>
      </c>
    </row>
    <row r="115" spans="1:18">
      <c r="A115" s="98">
        <v>45539</v>
      </c>
      <c r="B115" s="99" t="s">
        <v>87</v>
      </c>
      <c r="C115" s="99">
        <v>3</v>
      </c>
      <c r="D115" s="100" t="s">
        <v>411</v>
      </c>
      <c r="E115" s="97" t="s">
        <v>153</v>
      </c>
      <c r="F115" s="99">
        <v>19</v>
      </c>
      <c r="G115" s="99" t="s">
        <v>17</v>
      </c>
      <c r="H115" s="99" t="s">
        <v>701</v>
      </c>
      <c r="I115" s="104" t="s">
        <v>13</v>
      </c>
      <c r="J115" s="100" t="s">
        <v>409</v>
      </c>
      <c r="K115" s="99"/>
      <c r="L115" s="99" t="s">
        <v>17</v>
      </c>
      <c r="M115" s="99" t="s">
        <v>17</v>
      </c>
      <c r="N115" s="99" t="s">
        <v>701</v>
      </c>
      <c r="O115" s="156" t="s">
        <v>129</v>
      </c>
      <c r="P115" s="157" t="s">
        <v>387</v>
      </c>
      <c r="Q115" s="149">
        <v>2024</v>
      </c>
      <c r="R115" s="158">
        <f t="shared" si="1"/>
        <v>45539</v>
      </c>
    </row>
    <row r="116" spans="1:18">
      <c r="A116" s="98">
        <v>45539</v>
      </c>
      <c r="B116" s="99" t="s">
        <v>87</v>
      </c>
      <c r="C116" s="99">
        <v>3</v>
      </c>
      <c r="D116" s="100" t="s">
        <v>767</v>
      </c>
      <c r="E116" s="97" t="s">
        <v>46</v>
      </c>
      <c r="F116" s="99">
        <v>7</v>
      </c>
      <c r="G116" s="99" t="s">
        <v>17</v>
      </c>
      <c r="H116" s="99" t="s">
        <v>731</v>
      </c>
      <c r="I116" s="104" t="s">
        <v>13</v>
      </c>
      <c r="J116" s="100" t="s">
        <v>409</v>
      </c>
      <c r="K116" s="99"/>
      <c r="L116" s="99" t="s">
        <v>17</v>
      </c>
      <c r="M116" s="99" t="s">
        <v>17</v>
      </c>
      <c r="N116" s="99" t="s">
        <v>731</v>
      </c>
      <c r="O116" s="156" t="s">
        <v>129</v>
      </c>
      <c r="P116" s="157" t="s">
        <v>387</v>
      </c>
      <c r="Q116" s="149">
        <v>2024</v>
      </c>
      <c r="R116" s="158">
        <f t="shared" si="1"/>
        <v>45539</v>
      </c>
    </row>
    <row r="117" spans="1:18">
      <c r="A117" s="98">
        <v>45539</v>
      </c>
      <c r="B117" s="99" t="s">
        <v>87</v>
      </c>
      <c r="C117" s="99">
        <v>3</v>
      </c>
      <c r="D117" s="100" t="s">
        <v>413</v>
      </c>
      <c r="E117" s="101" t="s">
        <v>15</v>
      </c>
      <c r="F117" s="99">
        <v>22</v>
      </c>
      <c r="G117" s="99" t="s">
        <v>17</v>
      </c>
      <c r="H117" s="99" t="s">
        <v>701</v>
      </c>
      <c r="I117" s="104" t="s">
        <v>49</v>
      </c>
      <c r="J117" s="100" t="s">
        <v>414</v>
      </c>
      <c r="K117" s="99"/>
      <c r="L117" s="99" t="s">
        <v>17</v>
      </c>
      <c r="M117" s="99" t="s">
        <v>17</v>
      </c>
      <c r="N117" s="99" t="s">
        <v>701</v>
      </c>
      <c r="O117" s="156" t="s">
        <v>129</v>
      </c>
      <c r="P117" s="157" t="s">
        <v>387</v>
      </c>
      <c r="Q117" s="149">
        <v>2024</v>
      </c>
      <c r="R117" s="158">
        <f t="shared" si="1"/>
        <v>45539</v>
      </c>
    </row>
    <row r="118" spans="1:18">
      <c r="A118" s="98">
        <v>45539</v>
      </c>
      <c r="B118" s="99" t="s">
        <v>87</v>
      </c>
      <c r="C118" s="99">
        <v>3</v>
      </c>
      <c r="D118" s="100" t="s">
        <v>768</v>
      </c>
      <c r="E118" s="97" t="s">
        <v>368</v>
      </c>
      <c r="F118" s="99">
        <v>7</v>
      </c>
      <c r="G118" s="99" t="s">
        <v>17</v>
      </c>
      <c r="H118" s="99" t="s">
        <v>700</v>
      </c>
      <c r="I118" s="104" t="s">
        <v>49</v>
      </c>
      <c r="J118" s="100" t="s">
        <v>414</v>
      </c>
      <c r="K118" s="99"/>
      <c r="L118" s="99" t="s">
        <v>17</v>
      </c>
      <c r="M118" s="99" t="s">
        <v>17</v>
      </c>
      <c r="N118" s="99" t="s">
        <v>700</v>
      </c>
      <c r="O118" s="156" t="s">
        <v>129</v>
      </c>
      <c r="P118" s="157" t="s">
        <v>387</v>
      </c>
      <c r="Q118" s="149">
        <v>2024</v>
      </c>
      <c r="R118" s="158">
        <f t="shared" si="1"/>
        <v>45539</v>
      </c>
    </row>
    <row r="119" spans="1:18">
      <c r="A119" s="98">
        <v>45539</v>
      </c>
      <c r="B119" s="99" t="s">
        <v>87</v>
      </c>
      <c r="C119" s="99">
        <v>3</v>
      </c>
      <c r="D119" s="100" t="s">
        <v>418</v>
      </c>
      <c r="E119" s="101" t="s">
        <v>309</v>
      </c>
      <c r="F119" s="99">
        <v>327</v>
      </c>
      <c r="G119" s="99" t="s">
        <v>17</v>
      </c>
      <c r="H119" s="99" t="s">
        <v>701</v>
      </c>
      <c r="I119" s="104" t="s">
        <v>44</v>
      </c>
      <c r="J119" s="100" t="s">
        <v>419</v>
      </c>
      <c r="K119" s="99"/>
      <c r="L119" s="99" t="s">
        <v>17</v>
      </c>
      <c r="M119" s="99" t="s">
        <v>17</v>
      </c>
      <c r="N119" s="99" t="s">
        <v>701</v>
      </c>
      <c r="O119" s="156" t="s">
        <v>129</v>
      </c>
      <c r="P119" s="157" t="s">
        <v>387</v>
      </c>
      <c r="Q119" s="149">
        <v>2024</v>
      </c>
      <c r="R119" s="158">
        <f t="shared" si="1"/>
        <v>45539</v>
      </c>
    </row>
    <row r="120" spans="1:18">
      <c r="A120" s="98">
        <v>45539</v>
      </c>
      <c r="B120" s="99" t="s">
        <v>87</v>
      </c>
      <c r="C120" s="99">
        <v>3</v>
      </c>
      <c r="D120" s="100" t="s">
        <v>769</v>
      </c>
      <c r="E120" s="101" t="s">
        <v>141</v>
      </c>
      <c r="F120" s="99">
        <v>17</v>
      </c>
      <c r="G120" s="99" t="s">
        <v>711</v>
      </c>
      <c r="H120" s="99" t="s">
        <v>701</v>
      </c>
      <c r="I120" s="104" t="s">
        <v>24</v>
      </c>
      <c r="J120" s="100" t="s">
        <v>142</v>
      </c>
      <c r="K120" s="99"/>
      <c r="L120" s="99" t="s">
        <v>17</v>
      </c>
      <c r="M120" s="99" t="s">
        <v>711</v>
      </c>
      <c r="N120" s="99" t="s">
        <v>701</v>
      </c>
      <c r="O120" s="156" t="s">
        <v>129</v>
      </c>
      <c r="P120" s="157" t="s">
        <v>387</v>
      </c>
      <c r="Q120" s="149">
        <v>2024</v>
      </c>
      <c r="R120" s="158">
        <f t="shared" si="1"/>
        <v>45539</v>
      </c>
    </row>
    <row r="121" spans="1:18">
      <c r="A121" s="98">
        <v>45539</v>
      </c>
      <c r="B121" s="99" t="s">
        <v>87</v>
      </c>
      <c r="C121" s="99">
        <v>3</v>
      </c>
      <c r="D121" s="100" t="s">
        <v>422</v>
      </c>
      <c r="E121" s="101" t="s">
        <v>376</v>
      </c>
      <c r="F121" s="99">
        <v>46</v>
      </c>
      <c r="G121" s="99" t="s">
        <v>17</v>
      </c>
      <c r="H121" s="99" t="s">
        <v>701</v>
      </c>
      <c r="I121" s="104" t="s">
        <v>53</v>
      </c>
      <c r="J121" s="100" t="s">
        <v>423</v>
      </c>
      <c r="K121" s="99"/>
      <c r="L121" s="99" t="s">
        <v>17</v>
      </c>
      <c r="M121" s="99" t="s">
        <v>17</v>
      </c>
      <c r="N121" s="99" t="s">
        <v>701</v>
      </c>
      <c r="O121" s="156" t="s">
        <v>129</v>
      </c>
      <c r="P121" s="157" t="s">
        <v>387</v>
      </c>
      <c r="Q121" s="149">
        <v>2024</v>
      </c>
      <c r="R121" s="158">
        <f t="shared" si="1"/>
        <v>45539</v>
      </c>
    </row>
    <row r="122" spans="1:18">
      <c r="A122" s="98">
        <v>45539</v>
      </c>
      <c r="B122" s="99" t="s">
        <v>87</v>
      </c>
      <c r="C122" s="99">
        <v>3</v>
      </c>
      <c r="D122" s="100" t="s">
        <v>770</v>
      </c>
      <c r="E122" s="101" t="s">
        <v>426</v>
      </c>
      <c r="F122" s="99">
        <v>13</v>
      </c>
      <c r="G122" s="99" t="s">
        <v>17</v>
      </c>
      <c r="H122" s="99" t="s">
        <v>700</v>
      </c>
      <c r="I122" s="104" t="s">
        <v>53</v>
      </c>
      <c r="J122" s="100" t="s">
        <v>423</v>
      </c>
      <c r="K122" s="99"/>
      <c r="L122" s="99" t="s">
        <v>17</v>
      </c>
      <c r="M122" s="99" t="s">
        <v>17</v>
      </c>
      <c r="N122" s="99" t="s">
        <v>700</v>
      </c>
      <c r="O122" s="156" t="s">
        <v>129</v>
      </c>
      <c r="P122" s="157" t="s">
        <v>387</v>
      </c>
      <c r="Q122" s="149">
        <v>2024</v>
      </c>
      <c r="R122" s="158">
        <f t="shared" si="1"/>
        <v>45539</v>
      </c>
    </row>
    <row r="123" spans="1:18">
      <c r="A123" s="98">
        <v>45539</v>
      </c>
      <c r="B123" s="99" t="s">
        <v>87</v>
      </c>
      <c r="C123" s="99">
        <v>3</v>
      </c>
      <c r="D123" s="100" t="s">
        <v>427</v>
      </c>
      <c r="E123" s="101" t="s">
        <v>172</v>
      </c>
      <c r="F123" s="99">
        <v>211</v>
      </c>
      <c r="G123" s="99" t="s">
        <v>17</v>
      </c>
      <c r="H123" s="99" t="s">
        <v>701</v>
      </c>
      <c r="I123" s="104" t="s">
        <v>39</v>
      </c>
      <c r="J123" s="100" t="s">
        <v>428</v>
      </c>
      <c r="K123" s="99"/>
      <c r="L123" s="99" t="s">
        <v>36</v>
      </c>
      <c r="M123" s="99" t="s">
        <v>17</v>
      </c>
      <c r="N123" s="99" t="s">
        <v>701</v>
      </c>
      <c r="O123" s="156" t="s">
        <v>129</v>
      </c>
      <c r="P123" s="157" t="s">
        <v>387</v>
      </c>
      <c r="Q123" s="149">
        <v>2024</v>
      </c>
      <c r="R123" s="158">
        <f t="shared" si="1"/>
        <v>45539</v>
      </c>
    </row>
    <row r="124" spans="1:18">
      <c r="A124" s="98">
        <v>45540</v>
      </c>
      <c r="B124" s="99" t="s">
        <v>11</v>
      </c>
      <c r="C124" s="99">
        <v>2</v>
      </c>
      <c r="D124" s="100" t="s">
        <v>429</v>
      </c>
      <c r="E124" s="97" t="s">
        <v>185</v>
      </c>
      <c r="F124" s="99">
        <v>12</v>
      </c>
      <c r="G124" s="99" t="s">
        <v>17</v>
      </c>
      <c r="H124" s="99" t="s">
        <v>701</v>
      </c>
      <c r="I124" s="104" t="s">
        <v>301</v>
      </c>
      <c r="J124" s="100" t="s">
        <v>430</v>
      </c>
      <c r="K124" s="99"/>
      <c r="L124" s="99" t="s">
        <v>17</v>
      </c>
      <c r="M124" s="99" t="s">
        <v>17</v>
      </c>
      <c r="N124" s="99" t="s">
        <v>701</v>
      </c>
      <c r="O124" s="156" t="s">
        <v>129</v>
      </c>
      <c r="P124" s="157" t="s">
        <v>431</v>
      </c>
      <c r="Q124" s="149">
        <v>2024</v>
      </c>
      <c r="R124" s="158">
        <f t="shared" si="1"/>
        <v>45540</v>
      </c>
    </row>
    <row r="125" spans="1:18">
      <c r="A125" s="98">
        <v>45540</v>
      </c>
      <c r="B125" s="99" t="s">
        <v>31</v>
      </c>
      <c r="C125" s="99">
        <v>3</v>
      </c>
      <c r="D125" s="100" t="s">
        <v>432</v>
      </c>
      <c r="E125" s="101" t="s">
        <v>390</v>
      </c>
      <c r="F125" s="99">
        <v>55</v>
      </c>
      <c r="G125" s="99" t="s">
        <v>17</v>
      </c>
      <c r="H125" s="99" t="s">
        <v>701</v>
      </c>
      <c r="I125" s="104" t="s">
        <v>13</v>
      </c>
      <c r="J125" s="100" t="s">
        <v>433</v>
      </c>
      <c r="K125" s="99"/>
      <c r="L125" s="99" t="s">
        <v>17</v>
      </c>
      <c r="M125" s="99" t="s">
        <v>17</v>
      </c>
      <c r="N125" s="99" t="s">
        <v>701</v>
      </c>
      <c r="O125" s="156" t="s">
        <v>129</v>
      </c>
      <c r="P125" s="157" t="s">
        <v>431</v>
      </c>
      <c r="Q125" s="149">
        <v>2024</v>
      </c>
      <c r="R125" s="158">
        <f t="shared" si="1"/>
        <v>45540</v>
      </c>
    </row>
    <row r="126" spans="1:18">
      <c r="A126" s="98">
        <v>45540</v>
      </c>
      <c r="B126" s="99" t="s">
        <v>31</v>
      </c>
      <c r="C126" s="99">
        <v>3</v>
      </c>
      <c r="D126" s="100" t="s">
        <v>771</v>
      </c>
      <c r="E126" s="101" t="s">
        <v>209</v>
      </c>
      <c r="F126" s="99">
        <v>5</v>
      </c>
      <c r="G126" s="99" t="s">
        <v>17</v>
      </c>
      <c r="H126" s="99" t="s">
        <v>700</v>
      </c>
      <c r="I126" s="104" t="s">
        <v>13</v>
      </c>
      <c r="J126" s="100" t="s">
        <v>433</v>
      </c>
      <c r="K126" s="99"/>
      <c r="L126" s="99" t="s">
        <v>17</v>
      </c>
      <c r="M126" s="99" t="s">
        <v>17</v>
      </c>
      <c r="N126" s="99" t="s">
        <v>700</v>
      </c>
      <c r="O126" s="156" t="s">
        <v>129</v>
      </c>
      <c r="P126" s="157" t="s">
        <v>431</v>
      </c>
      <c r="Q126" s="149">
        <v>2024</v>
      </c>
      <c r="R126" s="158">
        <f t="shared" si="1"/>
        <v>45540</v>
      </c>
    </row>
    <row r="127" spans="1:18">
      <c r="A127" s="98">
        <v>45540</v>
      </c>
      <c r="B127" s="99" t="s">
        <v>31</v>
      </c>
      <c r="C127" s="99">
        <v>3</v>
      </c>
      <c r="D127" s="100" t="s">
        <v>436</v>
      </c>
      <c r="E127" s="101" t="s">
        <v>336</v>
      </c>
      <c r="F127" s="99">
        <v>35</v>
      </c>
      <c r="G127" s="99" t="s">
        <v>17</v>
      </c>
      <c r="H127" s="99" t="s">
        <v>701</v>
      </c>
      <c r="I127" s="104" t="s">
        <v>104</v>
      </c>
      <c r="J127" s="100" t="s">
        <v>437</v>
      </c>
      <c r="K127" s="99"/>
      <c r="L127" s="99" t="s">
        <v>17</v>
      </c>
      <c r="M127" s="99" t="s">
        <v>17</v>
      </c>
      <c r="N127" s="99" t="s">
        <v>701</v>
      </c>
      <c r="O127" s="156" t="s">
        <v>129</v>
      </c>
      <c r="P127" s="157" t="s">
        <v>431</v>
      </c>
      <c r="Q127" s="149">
        <v>2024</v>
      </c>
      <c r="R127" s="158">
        <f t="shared" si="1"/>
        <v>45540</v>
      </c>
    </row>
    <row r="128" spans="1:18">
      <c r="A128" s="98">
        <v>45540</v>
      </c>
      <c r="B128" s="99" t="s">
        <v>31</v>
      </c>
      <c r="C128" s="99">
        <v>3</v>
      </c>
      <c r="D128" s="100" t="s">
        <v>438</v>
      </c>
      <c r="E128" s="101" t="s">
        <v>440</v>
      </c>
      <c r="F128" s="99">
        <v>25</v>
      </c>
      <c r="G128" s="99" t="s">
        <v>17</v>
      </c>
      <c r="H128" s="99" t="s">
        <v>701</v>
      </c>
      <c r="I128" s="104" t="s">
        <v>49</v>
      </c>
      <c r="J128" s="100" t="s">
        <v>439</v>
      </c>
      <c r="K128" s="99"/>
      <c r="L128" s="99" t="s">
        <v>17</v>
      </c>
      <c r="M128" s="99" t="s">
        <v>17</v>
      </c>
      <c r="N128" s="99" t="s">
        <v>701</v>
      </c>
      <c r="O128" s="156" t="s">
        <v>129</v>
      </c>
      <c r="P128" s="157" t="s">
        <v>431</v>
      </c>
      <c r="Q128" s="149">
        <v>2024</v>
      </c>
      <c r="R128" s="158">
        <f t="shared" si="1"/>
        <v>45540</v>
      </c>
    </row>
    <row r="129" spans="1:18">
      <c r="A129" s="98">
        <v>45540</v>
      </c>
      <c r="B129" s="99" t="s">
        <v>31</v>
      </c>
      <c r="C129" s="99">
        <v>3</v>
      </c>
      <c r="D129" s="100" t="s">
        <v>772</v>
      </c>
      <c r="E129" s="97" t="s">
        <v>189</v>
      </c>
      <c r="F129" s="99">
        <v>18</v>
      </c>
      <c r="G129" s="99" t="s">
        <v>17</v>
      </c>
      <c r="H129" s="99" t="s">
        <v>700</v>
      </c>
      <c r="I129" s="104" t="s">
        <v>49</v>
      </c>
      <c r="J129" s="100" t="s">
        <v>439</v>
      </c>
      <c r="K129" s="99"/>
      <c r="L129" s="99" t="s">
        <v>17</v>
      </c>
      <c r="M129" s="99" t="s">
        <v>17</v>
      </c>
      <c r="N129" s="99" t="s">
        <v>700</v>
      </c>
      <c r="O129" s="156" t="s">
        <v>129</v>
      </c>
      <c r="P129" s="157" t="s">
        <v>431</v>
      </c>
      <c r="Q129" s="149">
        <v>2024</v>
      </c>
      <c r="R129" s="158">
        <f t="shared" si="1"/>
        <v>45540</v>
      </c>
    </row>
    <row r="130" spans="1:18">
      <c r="A130" s="98">
        <v>45540</v>
      </c>
      <c r="B130" s="99" t="s">
        <v>31</v>
      </c>
      <c r="C130" s="99">
        <v>3</v>
      </c>
      <c r="D130" s="100" t="s">
        <v>444</v>
      </c>
      <c r="E130" s="101" t="s">
        <v>446</v>
      </c>
      <c r="F130" s="99">
        <v>94</v>
      </c>
      <c r="G130" s="99" t="s">
        <v>17</v>
      </c>
      <c r="H130" s="99" t="s">
        <v>701</v>
      </c>
      <c r="I130" s="104" t="s">
        <v>77</v>
      </c>
      <c r="J130" s="100" t="s">
        <v>445</v>
      </c>
      <c r="K130" s="99"/>
      <c r="L130" s="99" t="s">
        <v>17</v>
      </c>
      <c r="M130" s="99" t="s">
        <v>17</v>
      </c>
      <c r="N130" s="99" t="s">
        <v>701</v>
      </c>
      <c r="O130" s="156" t="s">
        <v>129</v>
      </c>
      <c r="P130" s="157" t="s">
        <v>431</v>
      </c>
      <c r="Q130" s="149">
        <v>2024</v>
      </c>
      <c r="R130" s="158">
        <f t="shared" si="1"/>
        <v>45540</v>
      </c>
    </row>
    <row r="131" spans="1:18">
      <c r="A131" s="98">
        <v>45540</v>
      </c>
      <c r="B131" s="99" t="s">
        <v>31</v>
      </c>
      <c r="C131" s="99">
        <v>3</v>
      </c>
      <c r="D131" s="100" t="s">
        <v>448</v>
      </c>
      <c r="E131" s="97" t="s">
        <v>450</v>
      </c>
      <c r="F131" s="99">
        <v>119</v>
      </c>
      <c r="G131" s="99" t="s">
        <v>17</v>
      </c>
      <c r="H131" s="99" t="s">
        <v>701</v>
      </c>
      <c r="I131" s="104" t="s">
        <v>33</v>
      </c>
      <c r="J131" s="100" t="s">
        <v>449</v>
      </c>
      <c r="K131" s="99"/>
      <c r="L131" s="99" t="s">
        <v>36</v>
      </c>
      <c r="M131" s="99" t="s">
        <v>17</v>
      </c>
      <c r="N131" s="99" t="s">
        <v>701</v>
      </c>
      <c r="O131" s="156" t="s">
        <v>129</v>
      </c>
      <c r="P131" s="157" t="s">
        <v>431</v>
      </c>
      <c r="Q131" s="149">
        <v>2024</v>
      </c>
      <c r="R131" s="158">
        <f t="shared" si="1"/>
        <v>45540</v>
      </c>
    </row>
    <row r="132" spans="1:18">
      <c r="A132" s="98">
        <v>45540</v>
      </c>
      <c r="B132" s="99" t="s">
        <v>31</v>
      </c>
      <c r="C132" s="99">
        <v>3</v>
      </c>
      <c r="D132" s="100" t="s">
        <v>451</v>
      </c>
      <c r="E132" s="97" t="s">
        <v>453</v>
      </c>
      <c r="F132" s="99">
        <v>91</v>
      </c>
      <c r="G132" s="99" t="s">
        <v>17</v>
      </c>
      <c r="H132" s="99" t="s">
        <v>701</v>
      </c>
      <c r="I132" s="104" t="s">
        <v>73</v>
      </c>
      <c r="J132" s="100" t="s">
        <v>452</v>
      </c>
      <c r="K132" s="99"/>
      <c r="L132" s="99" t="s">
        <v>36</v>
      </c>
      <c r="M132" s="99" t="s">
        <v>17</v>
      </c>
      <c r="N132" s="99" t="s">
        <v>701</v>
      </c>
      <c r="O132" s="156" t="s">
        <v>129</v>
      </c>
      <c r="P132" s="157" t="s">
        <v>431</v>
      </c>
      <c r="Q132" s="149">
        <v>2024</v>
      </c>
      <c r="R132" s="158">
        <f t="shared" ref="R132:R195" si="2">DATE(2024,O132,P132)</f>
        <v>45540</v>
      </c>
    </row>
    <row r="133" spans="1:18">
      <c r="A133" s="98">
        <v>45540</v>
      </c>
      <c r="B133" s="99" t="s">
        <v>31</v>
      </c>
      <c r="C133" s="99">
        <v>3</v>
      </c>
      <c r="D133" s="100" t="s">
        <v>455</v>
      </c>
      <c r="E133" s="101" t="s">
        <v>457</v>
      </c>
      <c r="F133" s="99">
        <v>280</v>
      </c>
      <c r="G133" s="99" t="s">
        <v>17</v>
      </c>
      <c r="H133" s="99" t="s">
        <v>701</v>
      </c>
      <c r="I133" s="104" t="s">
        <v>39</v>
      </c>
      <c r="J133" s="100" t="s">
        <v>456</v>
      </c>
      <c r="K133" s="99"/>
      <c r="L133" s="99" t="s">
        <v>36</v>
      </c>
      <c r="M133" s="99" t="s">
        <v>17</v>
      </c>
      <c r="N133" s="99" t="s">
        <v>701</v>
      </c>
      <c r="O133" s="156" t="s">
        <v>129</v>
      </c>
      <c r="P133" s="157" t="s">
        <v>431</v>
      </c>
      <c r="Q133" s="149">
        <v>2024</v>
      </c>
      <c r="R133" s="158">
        <f t="shared" si="2"/>
        <v>45540</v>
      </c>
    </row>
    <row r="134" spans="1:18">
      <c r="A134" s="98">
        <v>45540</v>
      </c>
      <c r="B134" s="99" t="s">
        <v>31</v>
      </c>
      <c r="C134" s="99">
        <v>3</v>
      </c>
      <c r="D134" s="100" t="s">
        <v>773</v>
      </c>
      <c r="E134" s="97" t="s">
        <v>461</v>
      </c>
      <c r="F134" s="99">
        <v>51</v>
      </c>
      <c r="G134" s="99" t="s">
        <v>711</v>
      </c>
      <c r="H134" s="99" t="s">
        <v>701</v>
      </c>
      <c r="I134" s="104" t="s">
        <v>53</v>
      </c>
      <c r="J134" s="100" t="s">
        <v>460</v>
      </c>
      <c r="K134" s="99"/>
      <c r="L134" s="99" t="s">
        <v>17</v>
      </c>
      <c r="M134" s="99" t="s">
        <v>711</v>
      </c>
      <c r="N134" s="99" t="s">
        <v>701</v>
      </c>
      <c r="O134" s="156" t="s">
        <v>129</v>
      </c>
      <c r="P134" s="157" t="s">
        <v>431</v>
      </c>
      <c r="Q134" s="149">
        <v>2024</v>
      </c>
      <c r="R134" s="158">
        <f t="shared" si="2"/>
        <v>45540</v>
      </c>
    </row>
    <row r="135" spans="1:18">
      <c r="A135" s="98">
        <v>45540</v>
      </c>
      <c r="B135" s="99" t="s">
        <v>31</v>
      </c>
      <c r="C135" s="99">
        <v>3</v>
      </c>
      <c r="D135" s="100" t="s">
        <v>774</v>
      </c>
      <c r="E135" s="101" t="s">
        <v>352</v>
      </c>
      <c r="F135" s="99">
        <v>55</v>
      </c>
      <c r="G135" s="103" t="s">
        <v>17</v>
      </c>
      <c r="H135" s="99" t="s">
        <v>701</v>
      </c>
      <c r="I135" s="104" t="s">
        <v>704</v>
      </c>
      <c r="J135" s="100" t="s">
        <v>463</v>
      </c>
      <c r="K135" s="99"/>
      <c r="L135" s="103" t="s">
        <v>17</v>
      </c>
      <c r="M135" s="103" t="s">
        <v>17</v>
      </c>
      <c r="N135" s="99" t="s">
        <v>701</v>
      </c>
      <c r="O135" s="156" t="s">
        <v>129</v>
      </c>
      <c r="P135" s="157" t="s">
        <v>431</v>
      </c>
      <c r="Q135" s="149">
        <v>2024</v>
      </c>
      <c r="R135" s="158">
        <f t="shared" si="2"/>
        <v>45540</v>
      </c>
    </row>
    <row r="136" spans="1:18">
      <c r="A136" s="98">
        <v>45540</v>
      </c>
      <c r="B136" s="99" t="s">
        <v>31</v>
      </c>
      <c r="C136" s="99">
        <v>3</v>
      </c>
      <c r="D136" s="100" t="s">
        <v>775</v>
      </c>
      <c r="E136" s="101" t="s">
        <v>254</v>
      </c>
      <c r="F136" s="99">
        <v>53</v>
      </c>
      <c r="G136" s="99" t="s">
        <v>17</v>
      </c>
      <c r="H136" s="99" t="s">
        <v>701</v>
      </c>
      <c r="I136" s="104" t="s">
        <v>63</v>
      </c>
      <c r="J136" s="100" t="s">
        <v>466</v>
      </c>
      <c r="K136" s="99"/>
      <c r="L136" s="99" t="s">
        <v>17</v>
      </c>
      <c r="M136" s="99" t="s">
        <v>17</v>
      </c>
      <c r="N136" s="99" t="s">
        <v>701</v>
      </c>
      <c r="O136" s="156" t="s">
        <v>129</v>
      </c>
      <c r="P136" s="157" t="s">
        <v>431</v>
      </c>
      <c r="Q136" s="149">
        <v>2024</v>
      </c>
      <c r="R136" s="158">
        <f t="shared" si="2"/>
        <v>45540</v>
      </c>
    </row>
    <row r="137" spans="1:18">
      <c r="A137" s="98">
        <v>45540</v>
      </c>
      <c r="B137" s="99" t="s">
        <v>80</v>
      </c>
      <c r="C137" s="99">
        <v>2</v>
      </c>
      <c r="D137" s="100" t="s">
        <v>776</v>
      </c>
      <c r="E137" s="101" t="s">
        <v>390</v>
      </c>
      <c r="F137" s="99">
        <v>55</v>
      </c>
      <c r="G137" s="99" t="s">
        <v>17</v>
      </c>
      <c r="H137" s="99" t="s">
        <v>701</v>
      </c>
      <c r="I137" s="104" t="s">
        <v>163</v>
      </c>
      <c r="J137" s="100" t="s">
        <v>469</v>
      </c>
      <c r="K137" s="99"/>
      <c r="L137" s="99" t="s">
        <v>17</v>
      </c>
      <c r="M137" s="99" t="s">
        <v>17</v>
      </c>
      <c r="N137" s="99" t="s">
        <v>701</v>
      </c>
      <c r="O137" s="156" t="s">
        <v>129</v>
      </c>
      <c r="P137" s="157" t="s">
        <v>431</v>
      </c>
      <c r="Q137" s="149">
        <v>2024</v>
      </c>
      <c r="R137" s="158">
        <f t="shared" si="2"/>
        <v>45540</v>
      </c>
    </row>
    <row r="138" spans="1:18">
      <c r="A138" s="98">
        <v>45540</v>
      </c>
      <c r="B138" s="99" t="s">
        <v>80</v>
      </c>
      <c r="C138" s="99">
        <v>2</v>
      </c>
      <c r="D138" s="100" t="s">
        <v>470</v>
      </c>
      <c r="E138" s="101" t="s">
        <v>446</v>
      </c>
      <c r="F138" s="99">
        <v>5</v>
      </c>
      <c r="G138" s="99" t="s">
        <v>17</v>
      </c>
      <c r="H138" s="99" t="s">
        <v>701</v>
      </c>
      <c r="I138" s="104" t="s">
        <v>49</v>
      </c>
      <c r="J138" s="100" t="s">
        <v>471</v>
      </c>
      <c r="K138" s="99"/>
      <c r="L138" s="99" t="s">
        <v>17</v>
      </c>
      <c r="M138" s="99" t="s">
        <v>17</v>
      </c>
      <c r="N138" s="99" t="s">
        <v>701</v>
      </c>
      <c r="O138" s="156" t="s">
        <v>129</v>
      </c>
      <c r="P138" s="157" t="s">
        <v>431</v>
      </c>
      <c r="Q138" s="149">
        <v>2024</v>
      </c>
      <c r="R138" s="158">
        <f t="shared" si="2"/>
        <v>45540</v>
      </c>
    </row>
    <row r="139" spans="1:18">
      <c r="A139" s="98">
        <v>45540</v>
      </c>
      <c r="B139" s="99" t="s">
        <v>80</v>
      </c>
      <c r="C139" s="99">
        <v>2</v>
      </c>
      <c r="D139" s="100" t="s">
        <v>777</v>
      </c>
      <c r="E139" s="101" t="s">
        <v>178</v>
      </c>
      <c r="F139" s="99">
        <v>67</v>
      </c>
      <c r="G139" s="99" t="s">
        <v>17</v>
      </c>
      <c r="H139" s="99" t="s">
        <v>701</v>
      </c>
      <c r="I139" s="104" t="s">
        <v>27</v>
      </c>
      <c r="J139" s="100" t="s">
        <v>474</v>
      </c>
      <c r="K139" s="99"/>
      <c r="L139" s="99" t="s">
        <v>17</v>
      </c>
      <c r="M139" s="99" t="s">
        <v>17</v>
      </c>
      <c r="N139" s="99" t="s">
        <v>701</v>
      </c>
      <c r="O139" s="156" t="s">
        <v>129</v>
      </c>
      <c r="P139" s="157" t="s">
        <v>431</v>
      </c>
      <c r="Q139" s="149">
        <v>2024</v>
      </c>
      <c r="R139" s="158">
        <f t="shared" si="2"/>
        <v>45540</v>
      </c>
    </row>
    <row r="140" spans="1:18">
      <c r="A140" s="98">
        <v>45540</v>
      </c>
      <c r="B140" s="99" t="s">
        <v>87</v>
      </c>
      <c r="C140" s="99">
        <v>3</v>
      </c>
      <c r="D140" s="100" t="s">
        <v>778</v>
      </c>
      <c r="E140" s="101" t="s">
        <v>478</v>
      </c>
      <c r="F140" s="99">
        <v>6</v>
      </c>
      <c r="G140" s="99" t="s">
        <v>17</v>
      </c>
      <c r="H140" s="99" t="s">
        <v>700</v>
      </c>
      <c r="I140" s="104" t="s">
        <v>33</v>
      </c>
      <c r="J140" s="100" t="s">
        <v>477</v>
      </c>
      <c r="K140" s="99"/>
      <c r="L140" s="99" t="s">
        <v>128</v>
      </c>
      <c r="M140" s="99" t="s">
        <v>17</v>
      </c>
      <c r="N140" s="99" t="s">
        <v>700</v>
      </c>
      <c r="O140" s="156" t="s">
        <v>129</v>
      </c>
      <c r="P140" s="157" t="s">
        <v>431</v>
      </c>
      <c r="Q140" s="149">
        <v>2024</v>
      </c>
      <c r="R140" s="158">
        <f t="shared" si="2"/>
        <v>45540</v>
      </c>
    </row>
    <row r="141" spans="1:18">
      <c r="A141" s="98">
        <v>45540</v>
      </c>
      <c r="B141" s="99" t="s">
        <v>87</v>
      </c>
      <c r="C141" s="99">
        <v>3</v>
      </c>
      <c r="D141" s="100" t="s">
        <v>479</v>
      </c>
      <c r="E141" s="101" t="s">
        <v>294</v>
      </c>
      <c r="F141" s="99">
        <v>101</v>
      </c>
      <c r="G141" s="99" t="s">
        <v>17</v>
      </c>
      <c r="H141" s="99" t="s">
        <v>701</v>
      </c>
      <c r="I141" s="104" t="s">
        <v>33</v>
      </c>
      <c r="J141" s="100" t="s">
        <v>477</v>
      </c>
      <c r="K141" s="99"/>
      <c r="L141" s="99" t="s">
        <v>119</v>
      </c>
      <c r="M141" s="99" t="s">
        <v>17</v>
      </c>
      <c r="N141" s="99" t="s">
        <v>701</v>
      </c>
      <c r="O141" s="156" t="s">
        <v>129</v>
      </c>
      <c r="P141" s="157" t="s">
        <v>431</v>
      </c>
      <c r="Q141" s="149">
        <v>2024</v>
      </c>
      <c r="R141" s="158">
        <f t="shared" si="2"/>
        <v>45540</v>
      </c>
    </row>
    <row r="142" spans="1:18">
      <c r="A142" s="98">
        <v>45540</v>
      </c>
      <c r="B142" s="99" t="s">
        <v>87</v>
      </c>
      <c r="C142" s="99">
        <v>3</v>
      </c>
      <c r="D142" s="100" t="s">
        <v>481</v>
      </c>
      <c r="E142" s="101" t="s">
        <v>483</v>
      </c>
      <c r="F142" s="99">
        <v>29</v>
      </c>
      <c r="G142" s="99" t="s">
        <v>17</v>
      </c>
      <c r="H142" s="99" t="s">
        <v>701</v>
      </c>
      <c r="I142" s="104" t="s">
        <v>13</v>
      </c>
      <c r="J142" s="100" t="s">
        <v>482</v>
      </c>
      <c r="K142" s="99"/>
      <c r="L142" s="99" t="s">
        <v>17</v>
      </c>
      <c r="M142" s="99" t="s">
        <v>17</v>
      </c>
      <c r="N142" s="99" t="s">
        <v>701</v>
      </c>
      <c r="O142" s="156" t="s">
        <v>129</v>
      </c>
      <c r="P142" s="157" t="s">
        <v>431</v>
      </c>
      <c r="Q142" s="149">
        <v>2024</v>
      </c>
      <c r="R142" s="158">
        <f t="shared" si="2"/>
        <v>45540</v>
      </c>
    </row>
    <row r="143" spans="1:18">
      <c r="A143" s="98">
        <v>45540</v>
      </c>
      <c r="B143" s="99" t="s">
        <v>87</v>
      </c>
      <c r="C143" s="99">
        <v>3</v>
      </c>
      <c r="D143" s="100" t="s">
        <v>779</v>
      </c>
      <c r="E143" s="101" t="s">
        <v>394</v>
      </c>
      <c r="F143" s="99">
        <v>7</v>
      </c>
      <c r="G143" s="99" t="s">
        <v>17</v>
      </c>
      <c r="H143" s="99" t="s">
        <v>700</v>
      </c>
      <c r="I143" s="104" t="s">
        <v>13</v>
      </c>
      <c r="J143" s="100" t="s">
        <v>482</v>
      </c>
      <c r="K143" s="99"/>
      <c r="L143" s="99" t="s">
        <v>17</v>
      </c>
      <c r="M143" s="99" t="s">
        <v>17</v>
      </c>
      <c r="N143" s="99" t="s">
        <v>700</v>
      </c>
      <c r="O143" s="156" t="s">
        <v>129</v>
      </c>
      <c r="P143" s="157" t="s">
        <v>431</v>
      </c>
      <c r="Q143" s="149">
        <v>2024</v>
      </c>
      <c r="R143" s="158">
        <f t="shared" si="2"/>
        <v>45540</v>
      </c>
    </row>
    <row r="144" spans="1:18">
      <c r="A144" s="98">
        <v>45540</v>
      </c>
      <c r="B144" s="99" t="s">
        <v>87</v>
      </c>
      <c r="C144" s="99">
        <v>3</v>
      </c>
      <c r="D144" s="100" t="s">
        <v>486</v>
      </c>
      <c r="E144" s="101" t="s">
        <v>440</v>
      </c>
      <c r="F144" s="99">
        <v>25</v>
      </c>
      <c r="G144" s="99" t="s">
        <v>17</v>
      </c>
      <c r="H144" s="99" t="s">
        <v>701</v>
      </c>
      <c r="I144" s="104" t="s">
        <v>301</v>
      </c>
      <c r="J144" s="100" t="s">
        <v>487</v>
      </c>
      <c r="K144" s="99"/>
      <c r="L144" s="99" t="s">
        <v>17</v>
      </c>
      <c r="M144" s="99" t="s">
        <v>17</v>
      </c>
      <c r="N144" s="99" t="s">
        <v>701</v>
      </c>
      <c r="O144" s="156" t="s">
        <v>129</v>
      </c>
      <c r="P144" s="157" t="s">
        <v>431</v>
      </c>
      <c r="Q144" s="149">
        <v>2024</v>
      </c>
      <c r="R144" s="158">
        <f t="shared" si="2"/>
        <v>45540</v>
      </c>
    </row>
    <row r="145" spans="1:18">
      <c r="A145" s="98">
        <v>45540</v>
      </c>
      <c r="B145" s="99" t="s">
        <v>87</v>
      </c>
      <c r="C145" s="99">
        <v>3</v>
      </c>
      <c r="D145" s="100" t="s">
        <v>489</v>
      </c>
      <c r="E145" s="101" t="s">
        <v>294</v>
      </c>
      <c r="F145" s="99">
        <v>164</v>
      </c>
      <c r="G145" s="99" t="s">
        <v>17</v>
      </c>
      <c r="H145" s="99" t="s">
        <v>701</v>
      </c>
      <c r="I145" s="104" t="s">
        <v>58</v>
      </c>
      <c r="J145" s="100" t="s">
        <v>490</v>
      </c>
      <c r="K145" s="99"/>
      <c r="L145" s="99" t="s">
        <v>36</v>
      </c>
      <c r="M145" s="99" t="s">
        <v>17</v>
      </c>
      <c r="N145" s="99" t="s">
        <v>701</v>
      </c>
      <c r="O145" s="156" t="s">
        <v>129</v>
      </c>
      <c r="P145" s="157" t="s">
        <v>431</v>
      </c>
      <c r="Q145" s="149">
        <v>2024</v>
      </c>
      <c r="R145" s="158">
        <f t="shared" si="2"/>
        <v>45540</v>
      </c>
    </row>
    <row r="146" spans="1:18">
      <c r="A146" s="98">
        <v>45540</v>
      </c>
      <c r="B146" s="99" t="s">
        <v>87</v>
      </c>
      <c r="C146" s="99">
        <v>3</v>
      </c>
      <c r="D146" s="100" t="s">
        <v>492</v>
      </c>
      <c r="E146" s="101" t="s">
        <v>494</v>
      </c>
      <c r="F146" s="99">
        <v>87</v>
      </c>
      <c r="G146" s="99" t="s">
        <v>17</v>
      </c>
      <c r="H146" s="99" t="s">
        <v>701</v>
      </c>
      <c r="I146" s="104" t="s">
        <v>77</v>
      </c>
      <c r="J146" s="100" t="s">
        <v>493</v>
      </c>
      <c r="K146" s="99"/>
      <c r="L146" s="99" t="s">
        <v>17</v>
      </c>
      <c r="M146" s="99" t="s">
        <v>17</v>
      </c>
      <c r="N146" s="99" t="s">
        <v>701</v>
      </c>
      <c r="O146" s="156" t="s">
        <v>129</v>
      </c>
      <c r="P146" s="157" t="s">
        <v>431</v>
      </c>
      <c r="Q146" s="149">
        <v>2024</v>
      </c>
      <c r="R146" s="158">
        <f t="shared" si="2"/>
        <v>45540</v>
      </c>
    </row>
    <row r="147" spans="1:18">
      <c r="A147" s="98">
        <v>45540</v>
      </c>
      <c r="B147" s="99" t="s">
        <v>87</v>
      </c>
      <c r="C147" s="99">
        <v>3</v>
      </c>
      <c r="D147" s="100" t="s">
        <v>780</v>
      </c>
      <c r="E147" s="97" t="s">
        <v>498</v>
      </c>
      <c r="F147" s="99">
        <v>165</v>
      </c>
      <c r="G147" s="99" t="s">
        <v>711</v>
      </c>
      <c r="H147" s="99" t="s">
        <v>701</v>
      </c>
      <c r="I147" s="104" t="s">
        <v>73</v>
      </c>
      <c r="J147" s="100" t="s">
        <v>497</v>
      </c>
      <c r="K147" s="99"/>
      <c r="L147" s="99" t="s">
        <v>17</v>
      </c>
      <c r="M147" s="99" t="s">
        <v>711</v>
      </c>
      <c r="N147" s="99" t="s">
        <v>701</v>
      </c>
      <c r="O147" s="156" t="s">
        <v>129</v>
      </c>
      <c r="P147" s="157" t="s">
        <v>431</v>
      </c>
      <c r="Q147" s="149">
        <v>2024</v>
      </c>
      <c r="R147" s="158">
        <f t="shared" si="2"/>
        <v>45540</v>
      </c>
    </row>
    <row r="148" spans="1:18">
      <c r="A148" s="98">
        <v>45540</v>
      </c>
      <c r="B148" s="99" t="s">
        <v>312</v>
      </c>
      <c r="C148" s="99">
        <v>4</v>
      </c>
      <c r="D148" s="100" t="s">
        <v>781</v>
      </c>
      <c r="E148" s="97" t="s">
        <v>501</v>
      </c>
      <c r="F148" s="99">
        <v>21</v>
      </c>
      <c r="G148" s="99" t="s">
        <v>17</v>
      </c>
      <c r="H148" s="99" t="s">
        <v>701</v>
      </c>
      <c r="I148" s="104" t="s">
        <v>24</v>
      </c>
      <c r="J148" s="100" t="s">
        <v>500</v>
      </c>
      <c r="K148" s="99"/>
      <c r="L148" s="99" t="s">
        <v>17</v>
      </c>
      <c r="M148" s="99" t="s">
        <v>17</v>
      </c>
      <c r="N148" s="99" t="s">
        <v>701</v>
      </c>
      <c r="O148" s="156" t="s">
        <v>129</v>
      </c>
      <c r="P148" s="157" t="s">
        <v>431</v>
      </c>
      <c r="Q148" s="149">
        <v>2024</v>
      </c>
      <c r="R148" s="158">
        <f t="shared" si="2"/>
        <v>45540</v>
      </c>
    </row>
    <row r="149" spans="1:18">
      <c r="A149" s="98">
        <v>45540</v>
      </c>
      <c r="B149" s="99" t="s">
        <v>312</v>
      </c>
      <c r="C149" s="99">
        <v>4</v>
      </c>
      <c r="D149" s="100" t="s">
        <v>782</v>
      </c>
      <c r="E149" s="101" t="s">
        <v>352</v>
      </c>
      <c r="F149" s="99">
        <v>55</v>
      </c>
      <c r="G149" s="99" t="s">
        <v>17</v>
      </c>
      <c r="H149" s="99" t="s">
        <v>701</v>
      </c>
      <c r="I149" s="104" t="s">
        <v>704</v>
      </c>
      <c r="J149" s="100" t="s">
        <v>463</v>
      </c>
      <c r="K149" s="99"/>
      <c r="L149" s="99" t="s">
        <v>17</v>
      </c>
      <c r="M149" s="99" t="s">
        <v>17</v>
      </c>
      <c r="N149" s="99" t="s">
        <v>701</v>
      </c>
      <c r="O149" s="156" t="s">
        <v>129</v>
      </c>
      <c r="P149" s="157" t="s">
        <v>431</v>
      </c>
      <c r="Q149" s="149">
        <v>2024</v>
      </c>
      <c r="R149" s="158">
        <f t="shared" si="2"/>
        <v>45540</v>
      </c>
    </row>
    <row r="150" spans="1:18">
      <c r="A150" s="98">
        <v>45541</v>
      </c>
      <c r="B150" s="99" t="s">
        <v>11</v>
      </c>
      <c r="C150" s="99">
        <v>2</v>
      </c>
      <c r="D150" s="100" t="s">
        <v>502</v>
      </c>
      <c r="E150" s="101" t="s">
        <v>504</v>
      </c>
      <c r="F150" s="99">
        <v>27</v>
      </c>
      <c r="G150" s="99" t="s">
        <v>17</v>
      </c>
      <c r="H150" s="99" t="s">
        <v>701</v>
      </c>
      <c r="I150" s="104" t="s">
        <v>301</v>
      </c>
      <c r="J150" s="100" t="s">
        <v>503</v>
      </c>
      <c r="K150" s="99"/>
      <c r="L150" s="99" t="s">
        <v>17</v>
      </c>
      <c r="M150" s="99" t="s">
        <v>17</v>
      </c>
      <c r="N150" s="99" t="s">
        <v>701</v>
      </c>
      <c r="O150" s="156" t="s">
        <v>129</v>
      </c>
      <c r="P150" s="157" t="s">
        <v>505</v>
      </c>
      <c r="Q150" s="149">
        <v>2024</v>
      </c>
      <c r="R150" s="158">
        <f t="shared" si="2"/>
        <v>45541</v>
      </c>
    </row>
    <row r="151" spans="1:18">
      <c r="A151" s="98">
        <v>45541</v>
      </c>
      <c r="B151" s="99" t="s">
        <v>11</v>
      </c>
      <c r="C151" s="99">
        <v>2</v>
      </c>
      <c r="D151" s="100" t="s">
        <v>725</v>
      </c>
      <c r="E151" s="101" t="s">
        <v>231</v>
      </c>
      <c r="F151" s="99">
        <v>113</v>
      </c>
      <c r="G151" s="99" t="s">
        <v>17</v>
      </c>
      <c r="H151" s="99" t="s">
        <v>701</v>
      </c>
      <c r="I151" s="104" t="s">
        <v>24</v>
      </c>
      <c r="J151" s="100" t="s">
        <v>506</v>
      </c>
      <c r="K151" s="99"/>
      <c r="L151" s="99" t="s">
        <v>17</v>
      </c>
      <c r="M151" s="99" t="s">
        <v>17</v>
      </c>
      <c r="N151" s="99" t="s">
        <v>701</v>
      </c>
      <c r="O151" s="156" t="s">
        <v>129</v>
      </c>
      <c r="P151" s="157" t="s">
        <v>505</v>
      </c>
      <c r="Q151" s="149">
        <v>2024</v>
      </c>
      <c r="R151" s="158">
        <f t="shared" si="2"/>
        <v>45541</v>
      </c>
    </row>
    <row r="152" spans="1:18">
      <c r="A152" s="98">
        <v>45541</v>
      </c>
      <c r="B152" s="99" t="s">
        <v>31</v>
      </c>
      <c r="C152" s="99">
        <v>3</v>
      </c>
      <c r="D152" s="100" t="s">
        <v>508</v>
      </c>
      <c r="E152" s="97" t="s">
        <v>510</v>
      </c>
      <c r="F152" s="99">
        <v>82</v>
      </c>
      <c r="G152" s="99" t="s">
        <v>17</v>
      </c>
      <c r="H152" s="99" t="s">
        <v>701</v>
      </c>
      <c r="I152" s="104" t="s">
        <v>135</v>
      </c>
      <c r="J152" s="100" t="s">
        <v>509</v>
      </c>
      <c r="K152" s="99"/>
      <c r="L152" s="99" t="s">
        <v>17</v>
      </c>
      <c r="M152" s="99" t="s">
        <v>17</v>
      </c>
      <c r="N152" s="99" t="s">
        <v>701</v>
      </c>
      <c r="O152" s="156" t="s">
        <v>129</v>
      </c>
      <c r="P152" s="157" t="s">
        <v>505</v>
      </c>
      <c r="Q152" s="149">
        <v>2024</v>
      </c>
      <c r="R152" s="158">
        <f t="shared" si="2"/>
        <v>45541</v>
      </c>
    </row>
    <row r="153" spans="1:18">
      <c r="A153" s="98">
        <v>45541</v>
      </c>
      <c r="B153" s="99" t="s">
        <v>31</v>
      </c>
      <c r="C153" s="99">
        <v>3</v>
      </c>
      <c r="D153" s="100" t="s">
        <v>783</v>
      </c>
      <c r="E153" s="101" t="s">
        <v>514</v>
      </c>
      <c r="F153" s="99">
        <v>89</v>
      </c>
      <c r="G153" s="99" t="s">
        <v>17</v>
      </c>
      <c r="H153" s="99" t="s">
        <v>700</v>
      </c>
      <c r="I153" s="104" t="s">
        <v>246</v>
      </c>
      <c r="J153" s="100" t="s">
        <v>512</v>
      </c>
      <c r="K153" s="99"/>
      <c r="L153" s="99" t="s">
        <v>17</v>
      </c>
      <c r="M153" s="99" t="s">
        <v>17</v>
      </c>
      <c r="N153" s="99" t="s">
        <v>700</v>
      </c>
      <c r="O153" s="156" t="s">
        <v>129</v>
      </c>
      <c r="P153" s="157" t="s">
        <v>505</v>
      </c>
      <c r="Q153" s="149">
        <v>2024</v>
      </c>
      <c r="R153" s="158">
        <f t="shared" si="2"/>
        <v>45541</v>
      </c>
    </row>
    <row r="154" spans="1:18">
      <c r="A154" s="98">
        <v>45541</v>
      </c>
      <c r="B154" s="99" t="s">
        <v>31</v>
      </c>
      <c r="C154" s="99">
        <v>3</v>
      </c>
      <c r="D154" s="100" t="s">
        <v>516</v>
      </c>
      <c r="E154" s="101" t="s">
        <v>446</v>
      </c>
      <c r="F154" s="99">
        <v>684</v>
      </c>
      <c r="G154" s="99" t="s">
        <v>17</v>
      </c>
      <c r="H154" s="99" t="s">
        <v>701</v>
      </c>
      <c r="I154" s="104" t="s">
        <v>44</v>
      </c>
      <c r="J154" s="100" t="s">
        <v>517</v>
      </c>
      <c r="K154" s="99"/>
      <c r="L154" s="99" t="s">
        <v>36</v>
      </c>
      <c r="M154" s="99" t="s">
        <v>17</v>
      </c>
      <c r="N154" s="99" t="s">
        <v>701</v>
      </c>
      <c r="O154" s="156" t="s">
        <v>129</v>
      </c>
      <c r="P154" s="157" t="s">
        <v>505</v>
      </c>
      <c r="Q154" s="149">
        <v>2024</v>
      </c>
      <c r="R154" s="158">
        <f t="shared" si="2"/>
        <v>45541</v>
      </c>
    </row>
    <row r="155" spans="1:18">
      <c r="A155" s="98">
        <v>45541</v>
      </c>
      <c r="B155" s="99" t="s">
        <v>31</v>
      </c>
      <c r="C155" s="99">
        <v>3</v>
      </c>
      <c r="D155" s="100" t="s">
        <v>519</v>
      </c>
      <c r="E155" s="97" t="s">
        <v>446</v>
      </c>
      <c r="F155" s="99">
        <v>187</v>
      </c>
      <c r="G155" s="99" t="s">
        <v>17</v>
      </c>
      <c r="H155" s="99" t="s">
        <v>701</v>
      </c>
      <c r="I155" s="104" t="s">
        <v>58</v>
      </c>
      <c r="J155" s="100" t="s">
        <v>521</v>
      </c>
      <c r="K155" s="99"/>
      <c r="L155" s="99" t="s">
        <v>522</v>
      </c>
      <c r="M155" s="99" t="s">
        <v>17</v>
      </c>
      <c r="N155" s="99" t="s">
        <v>701</v>
      </c>
      <c r="O155" s="156" t="s">
        <v>129</v>
      </c>
      <c r="P155" s="157" t="s">
        <v>505</v>
      </c>
      <c r="Q155" s="149">
        <v>2024</v>
      </c>
      <c r="R155" s="158">
        <f t="shared" si="2"/>
        <v>45541</v>
      </c>
    </row>
    <row r="156" spans="1:18">
      <c r="A156" s="98">
        <v>45541</v>
      </c>
      <c r="B156" s="99" t="s">
        <v>31</v>
      </c>
      <c r="C156" s="99">
        <v>3</v>
      </c>
      <c r="D156" s="100" t="s">
        <v>784</v>
      </c>
      <c r="E156" s="101" t="s">
        <v>100</v>
      </c>
      <c r="F156" s="99">
        <v>27</v>
      </c>
      <c r="G156" s="99" t="s">
        <v>17</v>
      </c>
      <c r="H156" s="99" t="s">
        <v>700</v>
      </c>
      <c r="I156" s="104" t="s">
        <v>58</v>
      </c>
      <c r="J156" s="100" t="s">
        <v>521</v>
      </c>
      <c r="K156" s="99"/>
      <c r="L156" s="99" t="s">
        <v>524</v>
      </c>
      <c r="M156" s="99" t="s">
        <v>17</v>
      </c>
      <c r="N156" s="99" t="s">
        <v>700</v>
      </c>
      <c r="O156" s="156" t="s">
        <v>129</v>
      </c>
      <c r="P156" s="157" t="s">
        <v>505</v>
      </c>
      <c r="Q156" s="149">
        <v>2024</v>
      </c>
      <c r="R156" s="158">
        <f t="shared" si="2"/>
        <v>45541</v>
      </c>
    </row>
    <row r="157" spans="1:18">
      <c r="A157" s="98">
        <v>45541</v>
      </c>
      <c r="B157" s="99" t="s">
        <v>31</v>
      </c>
      <c r="C157" s="99">
        <v>3</v>
      </c>
      <c r="D157" s="100" t="s">
        <v>525</v>
      </c>
      <c r="E157" s="97" t="s">
        <v>21</v>
      </c>
      <c r="F157" s="99">
        <v>91</v>
      </c>
      <c r="G157" s="99" t="s">
        <v>17</v>
      </c>
      <c r="H157" s="99" t="s">
        <v>701</v>
      </c>
      <c r="I157" s="104" t="s">
        <v>77</v>
      </c>
      <c r="J157" s="100" t="s">
        <v>526</v>
      </c>
      <c r="K157" s="99"/>
      <c r="L157" s="99" t="s">
        <v>17</v>
      </c>
      <c r="M157" s="99" t="s">
        <v>17</v>
      </c>
      <c r="N157" s="99" t="s">
        <v>701</v>
      </c>
      <c r="O157" s="156" t="s">
        <v>129</v>
      </c>
      <c r="P157" s="157" t="s">
        <v>505</v>
      </c>
      <c r="Q157" s="149">
        <v>2024</v>
      </c>
      <c r="R157" s="158">
        <f t="shared" si="2"/>
        <v>45541</v>
      </c>
    </row>
    <row r="158" spans="1:18">
      <c r="A158" s="98">
        <v>45541</v>
      </c>
      <c r="B158" s="99" t="s">
        <v>31</v>
      </c>
      <c r="C158" s="99">
        <v>3</v>
      </c>
      <c r="D158" s="100" t="s">
        <v>528</v>
      </c>
      <c r="E158" s="97" t="s">
        <v>530</v>
      </c>
      <c r="F158" s="99">
        <v>173</v>
      </c>
      <c r="G158" s="99" t="s">
        <v>17</v>
      </c>
      <c r="H158" s="99" t="s">
        <v>701</v>
      </c>
      <c r="I158" s="104" t="s">
        <v>33</v>
      </c>
      <c r="J158" s="100" t="s">
        <v>529</v>
      </c>
      <c r="K158" s="99"/>
      <c r="L158" s="99" t="s">
        <v>36</v>
      </c>
      <c r="M158" s="99" t="s">
        <v>17</v>
      </c>
      <c r="N158" s="99" t="s">
        <v>701</v>
      </c>
      <c r="O158" s="156" t="s">
        <v>129</v>
      </c>
      <c r="P158" s="157" t="s">
        <v>505</v>
      </c>
      <c r="Q158" s="149">
        <v>2024</v>
      </c>
      <c r="R158" s="158">
        <f t="shared" si="2"/>
        <v>45541</v>
      </c>
    </row>
    <row r="159" spans="1:18">
      <c r="A159" s="98">
        <v>45541</v>
      </c>
      <c r="B159" s="99" t="s">
        <v>31</v>
      </c>
      <c r="C159" s="99">
        <v>3</v>
      </c>
      <c r="D159" s="100" t="s">
        <v>532</v>
      </c>
      <c r="E159" s="97" t="s">
        <v>534</v>
      </c>
      <c r="F159" s="99">
        <v>70</v>
      </c>
      <c r="G159" s="99" t="s">
        <v>17</v>
      </c>
      <c r="H159" s="99" t="s">
        <v>701</v>
      </c>
      <c r="I159" s="104" t="s">
        <v>13</v>
      </c>
      <c r="J159" s="100" t="s">
        <v>533</v>
      </c>
      <c r="K159" s="99"/>
      <c r="L159" s="99" t="s">
        <v>17</v>
      </c>
      <c r="M159" s="99" t="s">
        <v>17</v>
      </c>
      <c r="N159" s="99" t="s">
        <v>701</v>
      </c>
      <c r="O159" s="156" t="s">
        <v>129</v>
      </c>
      <c r="P159" s="157" t="s">
        <v>505</v>
      </c>
      <c r="Q159" s="149">
        <v>2024</v>
      </c>
      <c r="R159" s="158">
        <f t="shared" si="2"/>
        <v>45541</v>
      </c>
    </row>
    <row r="160" spans="1:18">
      <c r="A160" s="98">
        <v>45541</v>
      </c>
      <c r="B160" s="99" t="s">
        <v>31</v>
      </c>
      <c r="C160" s="99">
        <v>3</v>
      </c>
      <c r="D160" s="100" t="s">
        <v>785</v>
      </c>
      <c r="E160" s="101" t="s">
        <v>534</v>
      </c>
      <c r="F160" s="99">
        <v>13</v>
      </c>
      <c r="G160" s="99" t="s">
        <v>17</v>
      </c>
      <c r="H160" s="99" t="s">
        <v>700</v>
      </c>
      <c r="I160" s="104" t="s">
        <v>49</v>
      </c>
      <c r="J160" s="100" t="s">
        <v>536</v>
      </c>
      <c r="K160" s="99"/>
      <c r="L160" s="99" t="s">
        <v>17</v>
      </c>
      <c r="M160" s="99" t="s">
        <v>17</v>
      </c>
      <c r="N160" s="99" t="s">
        <v>700</v>
      </c>
      <c r="O160" s="156" t="s">
        <v>129</v>
      </c>
      <c r="P160" s="157" t="s">
        <v>505</v>
      </c>
      <c r="Q160" s="149">
        <v>2024</v>
      </c>
      <c r="R160" s="158">
        <f t="shared" si="2"/>
        <v>45541</v>
      </c>
    </row>
    <row r="161" spans="1:18">
      <c r="A161" s="98">
        <v>45541</v>
      </c>
      <c r="B161" s="99" t="s">
        <v>31</v>
      </c>
      <c r="C161" s="99">
        <v>3</v>
      </c>
      <c r="D161" s="100" t="s">
        <v>532</v>
      </c>
      <c r="E161" s="97" t="s">
        <v>109</v>
      </c>
      <c r="F161" s="99">
        <v>31</v>
      </c>
      <c r="G161" s="99" t="s">
        <v>17</v>
      </c>
      <c r="H161" s="99" t="s">
        <v>701</v>
      </c>
      <c r="I161" s="104" t="s">
        <v>49</v>
      </c>
      <c r="J161" s="100" t="s">
        <v>536</v>
      </c>
      <c r="K161" s="99"/>
      <c r="L161" s="99" t="s">
        <v>17</v>
      </c>
      <c r="M161" s="99" t="s">
        <v>17</v>
      </c>
      <c r="N161" s="99" t="s">
        <v>701</v>
      </c>
      <c r="O161" s="156" t="s">
        <v>129</v>
      </c>
      <c r="P161" s="157" t="s">
        <v>505</v>
      </c>
      <c r="Q161" s="149">
        <v>2024</v>
      </c>
      <c r="R161" s="158">
        <f t="shared" si="2"/>
        <v>45541</v>
      </c>
    </row>
    <row r="162" spans="1:18">
      <c r="A162" s="98">
        <v>45541</v>
      </c>
      <c r="B162" s="99" t="s">
        <v>31</v>
      </c>
      <c r="C162" s="99">
        <v>3</v>
      </c>
      <c r="D162" s="100" t="s">
        <v>786</v>
      </c>
      <c r="E162" s="101" t="s">
        <v>539</v>
      </c>
      <c r="F162" s="99">
        <v>12</v>
      </c>
      <c r="G162" s="99" t="s">
        <v>17</v>
      </c>
      <c r="H162" s="99" t="s">
        <v>731</v>
      </c>
      <c r="I162" s="104" t="s">
        <v>49</v>
      </c>
      <c r="J162" s="100" t="s">
        <v>536</v>
      </c>
      <c r="K162" s="99"/>
      <c r="L162" s="99" t="s">
        <v>17</v>
      </c>
      <c r="M162" s="99" t="s">
        <v>17</v>
      </c>
      <c r="N162" s="99" t="s">
        <v>731</v>
      </c>
      <c r="O162" s="156" t="s">
        <v>129</v>
      </c>
      <c r="P162" s="157" t="s">
        <v>505</v>
      </c>
      <c r="Q162" s="149">
        <v>2024</v>
      </c>
      <c r="R162" s="158">
        <f t="shared" si="2"/>
        <v>45541</v>
      </c>
    </row>
    <row r="163" spans="1:18">
      <c r="A163" s="98">
        <v>45541</v>
      </c>
      <c r="B163" s="99" t="s">
        <v>31</v>
      </c>
      <c r="C163" s="99">
        <v>3</v>
      </c>
      <c r="D163" s="100" t="s">
        <v>787</v>
      </c>
      <c r="E163" s="101" t="s">
        <v>534</v>
      </c>
      <c r="F163" s="99">
        <v>4</v>
      </c>
      <c r="G163" s="99" t="s">
        <v>17</v>
      </c>
      <c r="H163" s="99" t="s">
        <v>700</v>
      </c>
      <c r="I163" s="104" t="s">
        <v>53</v>
      </c>
      <c r="J163" s="100" t="s">
        <v>541</v>
      </c>
      <c r="K163" s="99"/>
      <c r="L163" s="99" t="s">
        <v>17</v>
      </c>
      <c r="M163" s="99" t="s">
        <v>17</v>
      </c>
      <c r="N163" s="99" t="s">
        <v>700</v>
      </c>
      <c r="O163" s="156" t="s">
        <v>129</v>
      </c>
      <c r="P163" s="157" t="s">
        <v>505</v>
      </c>
      <c r="Q163" s="149">
        <v>2024</v>
      </c>
      <c r="R163" s="158">
        <f t="shared" si="2"/>
        <v>45541</v>
      </c>
    </row>
    <row r="164" spans="1:18">
      <c r="A164" s="98">
        <v>45541</v>
      </c>
      <c r="B164" s="99" t="s">
        <v>31</v>
      </c>
      <c r="C164" s="99">
        <v>3</v>
      </c>
      <c r="D164" s="100" t="s">
        <v>542</v>
      </c>
      <c r="E164" s="101" t="s">
        <v>157</v>
      </c>
      <c r="F164" s="99">
        <v>50</v>
      </c>
      <c r="G164" s="99" t="s">
        <v>17</v>
      </c>
      <c r="H164" s="99" t="s">
        <v>701</v>
      </c>
      <c r="I164" s="104" t="s">
        <v>53</v>
      </c>
      <c r="J164" s="100" t="s">
        <v>541</v>
      </c>
      <c r="K164" s="99"/>
      <c r="L164" s="99" t="s">
        <v>17</v>
      </c>
      <c r="M164" s="99" t="s">
        <v>17</v>
      </c>
      <c r="N164" s="99" t="s">
        <v>701</v>
      </c>
      <c r="O164" s="156" t="s">
        <v>129</v>
      </c>
      <c r="P164" s="157" t="s">
        <v>505</v>
      </c>
      <c r="Q164" s="149">
        <v>2024</v>
      </c>
      <c r="R164" s="158">
        <f t="shared" si="2"/>
        <v>45541</v>
      </c>
    </row>
    <row r="165" spans="1:18">
      <c r="A165" s="98">
        <v>45541</v>
      </c>
      <c r="B165" s="99" t="s">
        <v>31</v>
      </c>
      <c r="C165" s="99">
        <v>3</v>
      </c>
      <c r="D165" s="100" t="s">
        <v>543</v>
      </c>
      <c r="E165" s="97" t="s">
        <v>244</v>
      </c>
      <c r="F165" s="99">
        <v>65</v>
      </c>
      <c r="G165" s="99" t="s">
        <v>17</v>
      </c>
      <c r="H165" s="99" t="s">
        <v>701</v>
      </c>
      <c r="I165" s="104" t="s">
        <v>63</v>
      </c>
      <c r="J165" s="100" t="s">
        <v>544</v>
      </c>
      <c r="K165" s="99"/>
      <c r="L165" s="99" t="s">
        <v>17</v>
      </c>
      <c r="M165" s="99" t="s">
        <v>17</v>
      </c>
      <c r="N165" s="99" t="s">
        <v>701</v>
      </c>
      <c r="O165" s="156" t="s">
        <v>129</v>
      </c>
      <c r="P165" s="157" t="s">
        <v>505</v>
      </c>
      <c r="Q165" s="149">
        <v>2024</v>
      </c>
      <c r="R165" s="158">
        <f t="shared" si="2"/>
        <v>45541</v>
      </c>
    </row>
    <row r="166" spans="1:18">
      <c r="A166" s="98">
        <v>45541</v>
      </c>
      <c r="B166" s="99" t="s">
        <v>31</v>
      </c>
      <c r="C166" s="99">
        <v>3</v>
      </c>
      <c r="D166" s="100" t="s">
        <v>788</v>
      </c>
      <c r="E166" s="101" t="s">
        <v>407</v>
      </c>
      <c r="F166" s="99">
        <v>7</v>
      </c>
      <c r="G166" s="99" t="s">
        <v>711</v>
      </c>
      <c r="H166" s="99" t="s">
        <v>701</v>
      </c>
      <c r="I166" s="104" t="s">
        <v>547</v>
      </c>
      <c r="J166" s="100" t="s">
        <v>548</v>
      </c>
      <c r="K166" s="99"/>
      <c r="L166" s="99" t="s">
        <v>17</v>
      </c>
      <c r="M166" s="99" t="s">
        <v>711</v>
      </c>
      <c r="N166" s="99" t="s">
        <v>701</v>
      </c>
      <c r="O166" s="156" t="s">
        <v>129</v>
      </c>
      <c r="P166" s="157" t="s">
        <v>505</v>
      </c>
      <c r="Q166" s="149">
        <v>2024</v>
      </c>
      <c r="R166" s="158">
        <f t="shared" si="2"/>
        <v>45541</v>
      </c>
    </row>
    <row r="167" spans="1:18">
      <c r="A167" s="98">
        <v>45541</v>
      </c>
      <c r="B167" s="99" t="s">
        <v>31</v>
      </c>
      <c r="C167" s="99">
        <v>3</v>
      </c>
      <c r="D167" s="100" t="s">
        <v>549</v>
      </c>
      <c r="E167" s="101" t="s">
        <v>75</v>
      </c>
      <c r="F167" s="99">
        <v>144</v>
      </c>
      <c r="G167" s="99" t="s">
        <v>17</v>
      </c>
      <c r="H167" s="99" t="s">
        <v>701</v>
      </c>
      <c r="I167" s="104" t="s">
        <v>73</v>
      </c>
      <c r="J167" s="100" t="s">
        <v>550</v>
      </c>
      <c r="K167" s="99"/>
      <c r="L167" s="99" t="s">
        <v>36</v>
      </c>
      <c r="M167" s="99" t="s">
        <v>17</v>
      </c>
      <c r="N167" s="99" t="s">
        <v>701</v>
      </c>
      <c r="O167" s="156" t="s">
        <v>129</v>
      </c>
      <c r="P167" s="157" t="s">
        <v>505</v>
      </c>
      <c r="Q167" s="149">
        <v>2024</v>
      </c>
      <c r="R167" s="158">
        <f t="shared" si="2"/>
        <v>45541</v>
      </c>
    </row>
    <row r="168" spans="1:18">
      <c r="A168" s="98">
        <v>45541</v>
      </c>
      <c r="B168" s="99" t="s">
        <v>80</v>
      </c>
      <c r="C168" s="99"/>
      <c r="D168" s="100" t="s">
        <v>543</v>
      </c>
      <c r="E168" s="97" t="s">
        <v>244</v>
      </c>
      <c r="F168" s="99">
        <v>65</v>
      </c>
      <c r="G168" s="99" t="s">
        <v>17</v>
      </c>
      <c r="H168" s="99" t="s">
        <v>701</v>
      </c>
      <c r="I168" s="104" t="s">
        <v>246</v>
      </c>
      <c r="J168" s="100" t="s">
        <v>551</v>
      </c>
      <c r="K168" s="99"/>
      <c r="L168" s="99" t="s">
        <v>17</v>
      </c>
      <c r="M168" s="99" t="s">
        <v>17</v>
      </c>
      <c r="N168" s="99" t="s">
        <v>701</v>
      </c>
      <c r="O168" s="156" t="s">
        <v>129</v>
      </c>
      <c r="P168" s="157" t="s">
        <v>505</v>
      </c>
      <c r="Q168" s="149">
        <v>2024</v>
      </c>
      <c r="R168" s="158">
        <f t="shared" si="2"/>
        <v>45541</v>
      </c>
    </row>
    <row r="169" spans="1:18">
      <c r="A169" s="98">
        <v>45541</v>
      </c>
      <c r="B169" s="99" t="s">
        <v>87</v>
      </c>
      <c r="C169" s="99">
        <v>3</v>
      </c>
      <c r="D169" s="100" t="s">
        <v>552</v>
      </c>
      <c r="E169" s="97" t="s">
        <v>100</v>
      </c>
      <c r="F169" s="99">
        <v>51</v>
      </c>
      <c r="G169" s="99" t="s">
        <v>17</v>
      </c>
      <c r="H169" s="99" t="s">
        <v>701</v>
      </c>
      <c r="I169" s="104" t="s">
        <v>13</v>
      </c>
      <c r="J169" s="100" t="s">
        <v>553</v>
      </c>
      <c r="K169" s="99"/>
      <c r="L169" s="99" t="s">
        <v>17</v>
      </c>
      <c r="M169" s="99" t="s">
        <v>17</v>
      </c>
      <c r="N169" s="99" t="s">
        <v>701</v>
      </c>
      <c r="O169" s="156" t="s">
        <v>129</v>
      </c>
      <c r="P169" s="157" t="s">
        <v>505</v>
      </c>
      <c r="Q169" s="149">
        <v>2024</v>
      </c>
      <c r="R169" s="158">
        <f t="shared" si="2"/>
        <v>45541</v>
      </c>
    </row>
    <row r="170" spans="1:18">
      <c r="A170" s="98">
        <v>45541</v>
      </c>
      <c r="B170" s="99" t="s">
        <v>87</v>
      </c>
      <c r="C170" s="99">
        <v>3</v>
      </c>
      <c r="D170" s="100" t="s">
        <v>789</v>
      </c>
      <c r="E170" s="97" t="s">
        <v>555</v>
      </c>
      <c r="F170" s="99">
        <v>6</v>
      </c>
      <c r="G170" s="99" t="s">
        <v>17</v>
      </c>
      <c r="H170" s="99" t="s">
        <v>700</v>
      </c>
      <c r="I170" s="104" t="s">
        <v>13</v>
      </c>
      <c r="J170" s="100" t="s">
        <v>553</v>
      </c>
      <c r="K170" s="99"/>
      <c r="L170" s="99" t="s">
        <v>17</v>
      </c>
      <c r="M170" s="99" t="s">
        <v>17</v>
      </c>
      <c r="N170" s="99" t="s">
        <v>700</v>
      </c>
      <c r="O170" s="156" t="s">
        <v>129</v>
      </c>
      <c r="P170" s="157" t="s">
        <v>505</v>
      </c>
      <c r="Q170" s="149">
        <v>2024</v>
      </c>
      <c r="R170" s="158">
        <f t="shared" si="2"/>
        <v>45541</v>
      </c>
    </row>
    <row r="171" spans="1:18">
      <c r="A171" s="98">
        <v>45541</v>
      </c>
      <c r="B171" s="99" t="s">
        <v>87</v>
      </c>
      <c r="C171" s="99">
        <v>3</v>
      </c>
      <c r="D171" s="100" t="s">
        <v>556</v>
      </c>
      <c r="E171" s="97" t="s">
        <v>284</v>
      </c>
      <c r="F171" s="99">
        <v>44</v>
      </c>
      <c r="G171" s="99" t="s">
        <v>17</v>
      </c>
      <c r="H171" s="99" t="s">
        <v>701</v>
      </c>
      <c r="I171" s="104" t="s">
        <v>63</v>
      </c>
      <c r="J171" s="100" t="s">
        <v>557</v>
      </c>
      <c r="K171" s="99"/>
      <c r="L171" s="99" t="s">
        <v>17</v>
      </c>
      <c r="M171" s="99" t="s">
        <v>17</v>
      </c>
      <c r="N171" s="99" t="s">
        <v>701</v>
      </c>
      <c r="O171" s="156" t="s">
        <v>129</v>
      </c>
      <c r="P171" s="157" t="s">
        <v>505</v>
      </c>
      <c r="Q171" s="149">
        <v>2024</v>
      </c>
      <c r="R171" s="158">
        <f t="shared" si="2"/>
        <v>45541</v>
      </c>
    </row>
    <row r="172" spans="1:18">
      <c r="A172" s="98">
        <v>45541</v>
      </c>
      <c r="B172" s="99" t="s">
        <v>87</v>
      </c>
      <c r="C172" s="99">
        <v>3</v>
      </c>
      <c r="D172" s="100" t="s">
        <v>558</v>
      </c>
      <c r="E172" s="97" t="s">
        <v>560</v>
      </c>
      <c r="F172" s="99">
        <v>149</v>
      </c>
      <c r="G172" s="99" t="s">
        <v>17</v>
      </c>
      <c r="H172" s="99" t="s">
        <v>701</v>
      </c>
      <c r="I172" s="104" t="s">
        <v>33</v>
      </c>
      <c r="J172" s="100" t="s">
        <v>559</v>
      </c>
      <c r="K172" s="99"/>
      <c r="L172" s="99" t="s">
        <v>36</v>
      </c>
      <c r="M172" s="99" t="s">
        <v>17</v>
      </c>
      <c r="N172" s="99" t="s">
        <v>701</v>
      </c>
      <c r="O172" s="156" t="s">
        <v>129</v>
      </c>
      <c r="P172" s="157" t="s">
        <v>505</v>
      </c>
      <c r="Q172" s="149">
        <v>2024</v>
      </c>
      <c r="R172" s="158">
        <f t="shared" si="2"/>
        <v>45541</v>
      </c>
    </row>
    <row r="173" spans="1:18">
      <c r="A173" s="98">
        <v>45541</v>
      </c>
      <c r="B173" s="99" t="s">
        <v>87</v>
      </c>
      <c r="C173" s="99">
        <v>3</v>
      </c>
      <c r="D173" s="100" t="s">
        <v>562</v>
      </c>
      <c r="E173" s="97" t="s">
        <v>178</v>
      </c>
      <c r="F173" s="99">
        <v>45</v>
      </c>
      <c r="G173" s="99" t="s">
        <v>17</v>
      </c>
      <c r="H173" s="99" t="s">
        <v>701</v>
      </c>
      <c r="I173" s="104" t="s">
        <v>49</v>
      </c>
      <c r="J173" s="100" t="s">
        <v>563</v>
      </c>
      <c r="K173" s="99"/>
      <c r="L173" s="99" t="s">
        <v>17</v>
      </c>
      <c r="M173" s="99" t="s">
        <v>17</v>
      </c>
      <c r="N173" s="99" t="s">
        <v>701</v>
      </c>
      <c r="O173" s="156" t="s">
        <v>129</v>
      </c>
      <c r="P173" s="157" t="s">
        <v>505</v>
      </c>
      <c r="Q173" s="149">
        <v>2024</v>
      </c>
      <c r="R173" s="158">
        <f t="shared" si="2"/>
        <v>45541</v>
      </c>
    </row>
    <row r="174" spans="1:18">
      <c r="A174" s="98">
        <v>45541</v>
      </c>
      <c r="B174" s="99" t="s">
        <v>87</v>
      </c>
      <c r="C174" s="99">
        <v>3</v>
      </c>
      <c r="D174" s="100" t="s">
        <v>564</v>
      </c>
      <c r="E174" s="101" t="s">
        <v>426</v>
      </c>
      <c r="F174" s="99">
        <v>43</v>
      </c>
      <c r="G174" s="99" t="s">
        <v>17</v>
      </c>
      <c r="H174" s="99" t="s">
        <v>701</v>
      </c>
      <c r="I174" s="104" t="s">
        <v>53</v>
      </c>
      <c r="J174" s="100" t="s">
        <v>565</v>
      </c>
      <c r="K174" s="99"/>
      <c r="L174" s="99" t="s">
        <v>17</v>
      </c>
      <c r="M174" s="99" t="s">
        <v>17</v>
      </c>
      <c r="N174" s="99" t="s">
        <v>701</v>
      </c>
      <c r="O174" s="156" t="s">
        <v>129</v>
      </c>
      <c r="P174" s="157" t="s">
        <v>505</v>
      </c>
      <c r="Q174" s="149">
        <v>2024</v>
      </c>
      <c r="R174" s="158">
        <f t="shared" si="2"/>
        <v>45541</v>
      </c>
    </row>
    <row r="175" spans="1:18">
      <c r="A175" s="98">
        <v>45541</v>
      </c>
      <c r="B175" s="99" t="s">
        <v>87</v>
      </c>
      <c r="C175" s="99">
        <v>3</v>
      </c>
      <c r="D175" s="100" t="s">
        <v>790</v>
      </c>
      <c r="E175" s="101" t="s">
        <v>70</v>
      </c>
      <c r="F175" s="99">
        <v>50</v>
      </c>
      <c r="G175" s="99" t="s">
        <v>17</v>
      </c>
      <c r="H175" s="99" t="s">
        <v>701</v>
      </c>
      <c r="I175" s="106" t="s">
        <v>315</v>
      </c>
      <c r="J175" s="100" t="s">
        <v>69</v>
      </c>
      <c r="K175" s="99"/>
      <c r="L175" s="99" t="s">
        <v>17</v>
      </c>
      <c r="M175" s="99" t="s">
        <v>17</v>
      </c>
      <c r="N175" s="99" t="s">
        <v>701</v>
      </c>
      <c r="O175" s="156" t="s">
        <v>129</v>
      </c>
      <c r="P175" s="157" t="s">
        <v>505</v>
      </c>
      <c r="Q175" s="149">
        <v>2024</v>
      </c>
      <c r="R175" s="158">
        <f t="shared" si="2"/>
        <v>45541</v>
      </c>
    </row>
    <row r="176" spans="1:18">
      <c r="A176" s="98">
        <v>45541</v>
      </c>
      <c r="B176" s="99" t="s">
        <v>87</v>
      </c>
      <c r="C176" s="99">
        <v>3</v>
      </c>
      <c r="D176" s="100" t="s">
        <v>791</v>
      </c>
      <c r="E176" s="101" t="s">
        <v>172</v>
      </c>
      <c r="F176" s="99">
        <v>77</v>
      </c>
      <c r="G176" s="99" t="s">
        <v>17</v>
      </c>
      <c r="H176" s="99" t="s">
        <v>701</v>
      </c>
      <c r="I176" s="104" t="s">
        <v>77</v>
      </c>
      <c r="J176" s="100" t="s">
        <v>568</v>
      </c>
      <c r="K176" s="99"/>
      <c r="L176" s="99" t="s">
        <v>17</v>
      </c>
      <c r="M176" s="99" t="s">
        <v>17</v>
      </c>
      <c r="N176" s="99" t="s">
        <v>701</v>
      </c>
      <c r="O176" s="156" t="s">
        <v>129</v>
      </c>
      <c r="P176" s="157" t="s">
        <v>505</v>
      </c>
      <c r="Q176" s="149">
        <v>2024</v>
      </c>
      <c r="R176" s="158">
        <f t="shared" si="2"/>
        <v>45541</v>
      </c>
    </row>
    <row r="177" spans="1:18">
      <c r="A177" s="98">
        <v>45542</v>
      </c>
      <c r="B177" s="99" t="s">
        <v>11</v>
      </c>
      <c r="C177" s="99">
        <v>2</v>
      </c>
      <c r="D177" s="100" t="s">
        <v>570</v>
      </c>
      <c r="E177" s="101" t="s">
        <v>572</v>
      </c>
      <c r="F177" s="99">
        <v>693</v>
      </c>
      <c r="G177" s="103" t="s">
        <v>17</v>
      </c>
      <c r="H177" s="99" t="s">
        <v>701</v>
      </c>
      <c r="I177" s="104" t="s">
        <v>44</v>
      </c>
      <c r="J177" s="100" t="s">
        <v>571</v>
      </c>
      <c r="K177" s="99"/>
      <c r="L177" s="103" t="s">
        <v>36</v>
      </c>
      <c r="M177" s="103" t="s">
        <v>17</v>
      </c>
      <c r="N177" s="99" t="s">
        <v>701</v>
      </c>
      <c r="O177" s="156" t="s">
        <v>129</v>
      </c>
      <c r="P177" s="157" t="s">
        <v>574</v>
      </c>
      <c r="Q177" s="149">
        <v>2024</v>
      </c>
      <c r="R177" s="158">
        <f t="shared" si="2"/>
        <v>45542</v>
      </c>
    </row>
    <row r="178" spans="1:18">
      <c r="A178" s="98">
        <v>45542</v>
      </c>
      <c r="B178" s="99" t="s">
        <v>11</v>
      </c>
      <c r="C178" s="99">
        <v>2</v>
      </c>
      <c r="D178" s="100" t="s">
        <v>575</v>
      </c>
      <c r="E178" s="101" t="s">
        <v>572</v>
      </c>
      <c r="F178" s="99">
        <v>155</v>
      </c>
      <c r="G178" s="99" t="s">
        <v>17</v>
      </c>
      <c r="H178" s="99" t="s">
        <v>701</v>
      </c>
      <c r="I178" s="104" t="s">
        <v>33</v>
      </c>
      <c r="J178" s="100" t="s">
        <v>577</v>
      </c>
      <c r="K178" s="99"/>
      <c r="L178" s="99" t="s">
        <v>36</v>
      </c>
      <c r="M178" s="99" t="s">
        <v>17</v>
      </c>
      <c r="N178" s="99" t="s">
        <v>701</v>
      </c>
      <c r="O178" s="156" t="s">
        <v>129</v>
      </c>
      <c r="P178" s="157" t="s">
        <v>574</v>
      </c>
      <c r="Q178" s="149">
        <v>2024</v>
      </c>
      <c r="R178" s="158">
        <f t="shared" si="2"/>
        <v>45542</v>
      </c>
    </row>
    <row r="179" spans="1:18">
      <c r="A179" s="98">
        <v>45542</v>
      </c>
      <c r="B179" s="99" t="s">
        <v>11</v>
      </c>
      <c r="C179" s="99">
        <v>2</v>
      </c>
      <c r="D179" s="100" t="s">
        <v>579</v>
      </c>
      <c r="E179" s="101" t="s">
        <v>21</v>
      </c>
      <c r="F179" s="99">
        <v>92</v>
      </c>
      <c r="G179" s="99" t="s">
        <v>17</v>
      </c>
      <c r="H179" s="99" t="s">
        <v>701</v>
      </c>
      <c r="I179" s="104" t="s">
        <v>13</v>
      </c>
      <c r="J179" s="100" t="s">
        <v>580</v>
      </c>
      <c r="K179" s="99"/>
      <c r="L179" s="99" t="s">
        <v>17</v>
      </c>
      <c r="M179" s="99" t="s">
        <v>17</v>
      </c>
      <c r="N179" s="99" t="s">
        <v>701</v>
      </c>
      <c r="O179" s="156" t="s">
        <v>129</v>
      </c>
      <c r="P179" s="157" t="s">
        <v>574</v>
      </c>
      <c r="Q179" s="149">
        <v>2024</v>
      </c>
      <c r="R179" s="158">
        <f t="shared" si="2"/>
        <v>45542</v>
      </c>
    </row>
    <row r="180" spans="1:18">
      <c r="A180" s="98">
        <v>45542</v>
      </c>
      <c r="B180" s="99" t="s">
        <v>11</v>
      </c>
      <c r="C180" s="99">
        <v>2</v>
      </c>
      <c r="D180" s="100" t="s">
        <v>583</v>
      </c>
      <c r="E180" s="97" t="s">
        <v>83</v>
      </c>
      <c r="F180" s="99">
        <v>442</v>
      </c>
      <c r="G180" s="99" t="s">
        <v>17</v>
      </c>
      <c r="H180" s="99" t="s">
        <v>701</v>
      </c>
      <c r="I180" s="104" t="s">
        <v>58</v>
      </c>
      <c r="J180" s="100" t="s">
        <v>584</v>
      </c>
      <c r="K180" s="99"/>
      <c r="L180" s="99" t="s">
        <v>36</v>
      </c>
      <c r="M180" s="99" t="s">
        <v>17</v>
      </c>
      <c r="N180" s="99" t="s">
        <v>701</v>
      </c>
      <c r="O180" s="156" t="s">
        <v>129</v>
      </c>
      <c r="P180" s="157" t="s">
        <v>574</v>
      </c>
      <c r="Q180" s="149">
        <v>2024</v>
      </c>
      <c r="R180" s="158">
        <f t="shared" si="2"/>
        <v>45542</v>
      </c>
    </row>
    <row r="181" spans="1:18">
      <c r="A181" s="98">
        <v>45542</v>
      </c>
      <c r="B181" s="99" t="s">
        <v>31</v>
      </c>
      <c r="C181" s="99">
        <v>3</v>
      </c>
      <c r="D181" s="100" t="s">
        <v>587</v>
      </c>
      <c r="E181" s="97" t="s">
        <v>331</v>
      </c>
      <c r="F181" s="99">
        <v>58</v>
      </c>
      <c r="G181" s="99" t="s">
        <v>17</v>
      </c>
      <c r="H181" s="99" t="s">
        <v>701</v>
      </c>
      <c r="I181" s="104" t="s">
        <v>53</v>
      </c>
      <c r="J181" s="100" t="s">
        <v>588</v>
      </c>
      <c r="K181" s="99"/>
      <c r="L181" s="99" t="s">
        <v>17</v>
      </c>
      <c r="M181" s="99" t="s">
        <v>17</v>
      </c>
      <c r="N181" s="99" t="s">
        <v>701</v>
      </c>
      <c r="O181" s="156" t="s">
        <v>129</v>
      </c>
      <c r="P181" s="157" t="s">
        <v>574</v>
      </c>
      <c r="Q181" s="149">
        <v>2024</v>
      </c>
      <c r="R181" s="158">
        <f t="shared" si="2"/>
        <v>45542</v>
      </c>
    </row>
    <row r="182" spans="1:18">
      <c r="A182" s="98">
        <v>45542</v>
      </c>
      <c r="B182" s="99" t="s">
        <v>31</v>
      </c>
      <c r="C182" s="99">
        <v>3</v>
      </c>
      <c r="D182" s="100" t="s">
        <v>589</v>
      </c>
      <c r="E182" s="101" t="s">
        <v>591</v>
      </c>
      <c r="F182" s="99">
        <v>92</v>
      </c>
      <c r="G182" s="99" t="s">
        <v>17</v>
      </c>
      <c r="H182" s="99" t="s">
        <v>701</v>
      </c>
      <c r="I182" s="104" t="s">
        <v>77</v>
      </c>
      <c r="J182" s="100" t="s">
        <v>590</v>
      </c>
      <c r="K182" s="99"/>
      <c r="L182" s="99" t="s">
        <v>17</v>
      </c>
      <c r="M182" s="99" t="s">
        <v>17</v>
      </c>
      <c r="N182" s="99" t="s">
        <v>701</v>
      </c>
      <c r="O182" s="156" t="s">
        <v>129</v>
      </c>
      <c r="P182" s="157" t="s">
        <v>574</v>
      </c>
      <c r="Q182" s="149">
        <v>2024</v>
      </c>
      <c r="R182" s="158">
        <f t="shared" si="2"/>
        <v>45542</v>
      </c>
    </row>
    <row r="183" spans="1:18">
      <c r="A183" s="98">
        <v>45542</v>
      </c>
      <c r="B183" s="99" t="s">
        <v>31</v>
      </c>
      <c r="C183" s="99">
        <v>3</v>
      </c>
      <c r="D183" s="100" t="s">
        <v>593</v>
      </c>
      <c r="E183" s="101" t="s">
        <v>539</v>
      </c>
      <c r="F183" s="99">
        <v>49</v>
      </c>
      <c r="G183" s="99" t="s">
        <v>17</v>
      </c>
      <c r="H183" s="99" t="s">
        <v>701</v>
      </c>
      <c r="I183" s="104" t="s">
        <v>63</v>
      </c>
      <c r="J183" s="100" t="s">
        <v>594</v>
      </c>
      <c r="K183" s="99"/>
      <c r="L183" s="99" t="s">
        <v>17</v>
      </c>
      <c r="M183" s="99" t="s">
        <v>17</v>
      </c>
      <c r="N183" s="99" t="s">
        <v>701</v>
      </c>
      <c r="O183" s="156" t="s">
        <v>129</v>
      </c>
      <c r="P183" s="157" t="s">
        <v>574</v>
      </c>
      <c r="Q183" s="149">
        <v>2024</v>
      </c>
      <c r="R183" s="158">
        <f t="shared" si="2"/>
        <v>45542</v>
      </c>
    </row>
    <row r="184" spans="1:18">
      <c r="A184" s="98">
        <v>45542</v>
      </c>
      <c r="B184" s="99" t="s">
        <v>31</v>
      </c>
      <c r="C184" s="99">
        <v>3</v>
      </c>
      <c r="D184" s="100" t="s">
        <v>792</v>
      </c>
      <c r="E184" s="101" t="s">
        <v>596</v>
      </c>
      <c r="F184" s="99">
        <v>12</v>
      </c>
      <c r="G184" s="99" t="s">
        <v>17</v>
      </c>
      <c r="H184" s="99" t="s">
        <v>700</v>
      </c>
      <c r="I184" s="104" t="s">
        <v>63</v>
      </c>
      <c r="J184" s="100" t="s">
        <v>594</v>
      </c>
      <c r="K184" s="99"/>
      <c r="L184" s="99" t="s">
        <v>17</v>
      </c>
      <c r="M184" s="99" t="s">
        <v>17</v>
      </c>
      <c r="N184" s="99" t="s">
        <v>700</v>
      </c>
      <c r="O184" s="156" t="s">
        <v>129</v>
      </c>
      <c r="P184" s="157" t="s">
        <v>574</v>
      </c>
      <c r="Q184" s="149">
        <v>2024</v>
      </c>
      <c r="R184" s="158">
        <f t="shared" si="2"/>
        <v>45542</v>
      </c>
    </row>
    <row r="185" spans="1:18">
      <c r="A185" s="98">
        <v>45542</v>
      </c>
      <c r="B185" s="99" t="s">
        <v>31</v>
      </c>
      <c r="C185" s="99">
        <v>3</v>
      </c>
      <c r="D185" s="100" t="s">
        <v>793</v>
      </c>
      <c r="E185" s="97" t="s">
        <v>70</v>
      </c>
      <c r="F185" s="99">
        <v>80</v>
      </c>
      <c r="G185" s="99" t="s">
        <v>17</v>
      </c>
      <c r="H185" s="99" t="s">
        <v>701</v>
      </c>
      <c r="I185" s="104" t="s">
        <v>704</v>
      </c>
      <c r="J185" s="100" t="s">
        <v>69</v>
      </c>
      <c r="K185" s="99"/>
      <c r="L185" s="99" t="s">
        <v>17</v>
      </c>
      <c r="M185" s="99" t="s">
        <v>17</v>
      </c>
      <c r="N185" s="99" t="s">
        <v>701</v>
      </c>
      <c r="O185" s="156" t="s">
        <v>129</v>
      </c>
      <c r="P185" s="157" t="s">
        <v>574</v>
      </c>
      <c r="Q185" s="149">
        <v>2024</v>
      </c>
      <c r="R185" s="158">
        <f t="shared" si="2"/>
        <v>45542</v>
      </c>
    </row>
    <row r="186" spans="1:18">
      <c r="A186" s="98">
        <v>45542</v>
      </c>
      <c r="B186" s="99" t="s">
        <v>31</v>
      </c>
      <c r="C186" s="99">
        <v>3</v>
      </c>
      <c r="D186" s="100" t="s">
        <v>794</v>
      </c>
      <c r="E186" s="101" t="s">
        <v>602</v>
      </c>
      <c r="F186" s="99">
        <v>111</v>
      </c>
      <c r="G186" s="99" t="s">
        <v>17</v>
      </c>
      <c r="H186" s="99" t="s">
        <v>701</v>
      </c>
      <c r="I186" s="104" t="s">
        <v>600</v>
      </c>
      <c r="J186" s="100" t="s">
        <v>601</v>
      </c>
      <c r="K186" s="99"/>
      <c r="L186" s="99" t="s">
        <v>17</v>
      </c>
      <c r="M186" s="99" t="s">
        <v>17</v>
      </c>
      <c r="N186" s="99" t="s">
        <v>701</v>
      </c>
      <c r="O186" s="156" t="s">
        <v>129</v>
      </c>
      <c r="P186" s="157" t="s">
        <v>574</v>
      </c>
      <c r="Q186" s="149">
        <v>2024</v>
      </c>
      <c r="R186" s="158">
        <f t="shared" si="2"/>
        <v>45542</v>
      </c>
    </row>
    <row r="187" spans="1:18">
      <c r="A187" s="98">
        <v>45542</v>
      </c>
      <c r="B187" s="99" t="s">
        <v>80</v>
      </c>
      <c r="C187" s="99">
        <v>2</v>
      </c>
      <c r="D187" s="100" t="s">
        <v>606</v>
      </c>
      <c r="E187" s="97" t="s">
        <v>572</v>
      </c>
      <c r="F187" s="99">
        <v>163</v>
      </c>
      <c r="G187" s="99" t="s">
        <v>17</v>
      </c>
      <c r="H187" s="99" t="s">
        <v>701</v>
      </c>
      <c r="I187" s="104" t="s">
        <v>33</v>
      </c>
      <c r="J187" s="100" t="s">
        <v>607</v>
      </c>
      <c r="K187" s="99"/>
      <c r="L187" s="99" t="s">
        <v>36</v>
      </c>
      <c r="M187" s="99" t="s">
        <v>17</v>
      </c>
      <c r="N187" s="99" t="s">
        <v>701</v>
      </c>
      <c r="O187" s="156" t="s">
        <v>129</v>
      </c>
      <c r="P187" s="157" t="s">
        <v>574</v>
      </c>
      <c r="Q187" s="149">
        <v>2024</v>
      </c>
      <c r="R187" s="158">
        <f t="shared" si="2"/>
        <v>45542</v>
      </c>
    </row>
    <row r="188" spans="1:18">
      <c r="A188" s="98">
        <v>45542</v>
      </c>
      <c r="B188" s="99" t="s">
        <v>80</v>
      </c>
      <c r="C188" s="99">
        <v>2</v>
      </c>
      <c r="D188" s="100" t="s">
        <v>609</v>
      </c>
      <c r="E188" s="97" t="s">
        <v>109</v>
      </c>
      <c r="F188" s="99">
        <v>359</v>
      </c>
      <c r="G188" s="99" t="s">
        <v>17</v>
      </c>
      <c r="H188" s="99" t="s">
        <v>701</v>
      </c>
      <c r="I188" s="104" t="s">
        <v>44</v>
      </c>
      <c r="J188" s="100" t="s">
        <v>610</v>
      </c>
      <c r="K188" s="99"/>
      <c r="L188" s="99" t="s">
        <v>36</v>
      </c>
      <c r="M188" s="99" t="s">
        <v>17</v>
      </c>
      <c r="N188" s="99" t="s">
        <v>701</v>
      </c>
      <c r="O188" s="156" t="s">
        <v>129</v>
      </c>
      <c r="P188" s="157" t="s">
        <v>574</v>
      </c>
      <c r="Q188" s="149">
        <v>2024</v>
      </c>
      <c r="R188" s="158">
        <f t="shared" si="2"/>
        <v>45542</v>
      </c>
    </row>
    <row r="189" spans="1:18">
      <c r="A189" s="98">
        <v>45542</v>
      </c>
      <c r="B189" s="99" t="s">
        <v>87</v>
      </c>
      <c r="C189" s="99">
        <v>3</v>
      </c>
      <c r="D189" s="100" t="s">
        <v>612</v>
      </c>
      <c r="E189" s="97" t="s">
        <v>390</v>
      </c>
      <c r="F189" s="99">
        <v>49</v>
      </c>
      <c r="G189" s="99" t="s">
        <v>17</v>
      </c>
      <c r="H189" s="99" t="s">
        <v>701</v>
      </c>
      <c r="I189" s="104" t="s">
        <v>13</v>
      </c>
      <c r="J189" s="100" t="s">
        <v>613</v>
      </c>
      <c r="K189" s="99"/>
      <c r="L189" s="99" t="s">
        <v>17</v>
      </c>
      <c r="M189" s="99" t="s">
        <v>17</v>
      </c>
      <c r="N189" s="99" t="s">
        <v>701</v>
      </c>
      <c r="O189" s="156" t="s">
        <v>129</v>
      </c>
      <c r="P189" s="157" t="s">
        <v>574</v>
      </c>
      <c r="Q189" s="149">
        <v>2024</v>
      </c>
      <c r="R189" s="158">
        <f t="shared" si="2"/>
        <v>45542</v>
      </c>
    </row>
    <row r="190" spans="1:18">
      <c r="A190" s="98">
        <v>45542</v>
      </c>
      <c r="B190" s="99" t="s">
        <v>87</v>
      </c>
      <c r="C190" s="99">
        <v>3</v>
      </c>
      <c r="D190" s="100" t="s">
        <v>795</v>
      </c>
      <c r="E190" s="97" t="s">
        <v>615</v>
      </c>
      <c r="F190" s="99">
        <v>13</v>
      </c>
      <c r="G190" s="99" t="s">
        <v>17</v>
      </c>
      <c r="H190" s="99" t="s">
        <v>700</v>
      </c>
      <c r="I190" s="104" t="s">
        <v>13</v>
      </c>
      <c r="J190" s="100" t="s">
        <v>613</v>
      </c>
      <c r="K190" s="99"/>
      <c r="L190" s="99" t="s">
        <v>17</v>
      </c>
      <c r="M190" s="99" t="s">
        <v>17</v>
      </c>
      <c r="N190" s="99" t="s">
        <v>700</v>
      </c>
      <c r="O190" s="156" t="s">
        <v>129</v>
      </c>
      <c r="P190" s="157" t="s">
        <v>574</v>
      </c>
      <c r="Q190" s="149">
        <v>2024</v>
      </c>
      <c r="R190" s="158">
        <f t="shared" si="2"/>
        <v>45542</v>
      </c>
    </row>
    <row r="191" spans="1:18">
      <c r="A191" s="98">
        <v>45542</v>
      </c>
      <c r="B191" s="99" t="s">
        <v>87</v>
      </c>
      <c r="C191" s="99">
        <v>3</v>
      </c>
      <c r="D191" s="100" t="s">
        <v>617</v>
      </c>
      <c r="E191" s="101" t="s">
        <v>193</v>
      </c>
      <c r="F191" s="99">
        <v>45</v>
      </c>
      <c r="G191" s="99" t="s">
        <v>17</v>
      </c>
      <c r="H191" s="99" t="s">
        <v>701</v>
      </c>
      <c r="I191" s="104" t="s">
        <v>49</v>
      </c>
      <c r="J191" s="100" t="s">
        <v>618</v>
      </c>
      <c r="K191" s="99"/>
      <c r="L191" s="99" t="s">
        <v>17</v>
      </c>
      <c r="M191" s="99" t="s">
        <v>17</v>
      </c>
      <c r="N191" s="99" t="s">
        <v>701</v>
      </c>
      <c r="O191" s="156" t="s">
        <v>129</v>
      </c>
      <c r="P191" s="157" t="s">
        <v>574</v>
      </c>
      <c r="Q191" s="149">
        <v>2024</v>
      </c>
      <c r="R191" s="158">
        <f t="shared" si="2"/>
        <v>45542</v>
      </c>
    </row>
    <row r="192" spans="1:18">
      <c r="A192" s="98">
        <v>45542</v>
      </c>
      <c r="B192" s="99" t="s">
        <v>87</v>
      </c>
      <c r="C192" s="99">
        <v>3</v>
      </c>
      <c r="D192" s="100" t="s">
        <v>796</v>
      </c>
      <c r="E192" s="101" t="s">
        <v>165</v>
      </c>
      <c r="F192" s="99">
        <v>7</v>
      </c>
      <c r="G192" s="99" t="s">
        <v>17</v>
      </c>
      <c r="H192" s="99" t="s">
        <v>700</v>
      </c>
      <c r="I192" s="104" t="s">
        <v>53</v>
      </c>
      <c r="J192" s="100" t="s">
        <v>620</v>
      </c>
      <c r="K192" s="99"/>
      <c r="L192" s="99" t="s">
        <v>17</v>
      </c>
      <c r="M192" s="99" t="s">
        <v>17</v>
      </c>
      <c r="N192" s="99" t="s">
        <v>700</v>
      </c>
      <c r="O192" s="156" t="s">
        <v>129</v>
      </c>
      <c r="P192" s="157" t="s">
        <v>574</v>
      </c>
      <c r="Q192" s="149">
        <v>2024</v>
      </c>
      <c r="R192" s="158">
        <f t="shared" si="2"/>
        <v>45542</v>
      </c>
    </row>
    <row r="193" spans="1:18">
      <c r="A193" s="98">
        <v>45542</v>
      </c>
      <c r="B193" s="99" t="s">
        <v>87</v>
      </c>
      <c r="C193" s="99">
        <v>3</v>
      </c>
      <c r="D193" s="100" t="s">
        <v>621</v>
      </c>
      <c r="E193" s="101" t="s">
        <v>165</v>
      </c>
      <c r="F193" s="99">
        <v>22</v>
      </c>
      <c r="G193" s="99" t="s">
        <v>17</v>
      </c>
      <c r="H193" s="99" t="s">
        <v>701</v>
      </c>
      <c r="I193" s="104" t="s">
        <v>53</v>
      </c>
      <c r="J193" s="100" t="s">
        <v>620</v>
      </c>
      <c r="K193" s="99"/>
      <c r="L193" s="99" t="s">
        <v>17</v>
      </c>
      <c r="M193" s="99" t="s">
        <v>17</v>
      </c>
      <c r="N193" s="99" t="s">
        <v>701</v>
      </c>
      <c r="O193" s="156" t="s">
        <v>129</v>
      </c>
      <c r="P193" s="157" t="s">
        <v>574</v>
      </c>
      <c r="Q193" s="149">
        <v>2024</v>
      </c>
      <c r="R193" s="158">
        <f t="shared" si="2"/>
        <v>45542</v>
      </c>
    </row>
    <row r="194" spans="1:18">
      <c r="A194" s="98">
        <v>45542</v>
      </c>
      <c r="B194" s="99" t="s">
        <v>87</v>
      </c>
      <c r="C194" s="99">
        <v>3</v>
      </c>
      <c r="D194" s="100" t="s">
        <v>797</v>
      </c>
      <c r="E194" s="101" t="s">
        <v>602</v>
      </c>
      <c r="F194" s="99">
        <v>111</v>
      </c>
      <c r="G194" s="99" t="s">
        <v>17</v>
      </c>
      <c r="H194" s="99" t="s">
        <v>701</v>
      </c>
      <c r="I194" s="104" t="s">
        <v>600</v>
      </c>
      <c r="J194" s="100" t="s">
        <v>622</v>
      </c>
      <c r="K194" s="99"/>
      <c r="L194" s="99" t="s">
        <v>17</v>
      </c>
      <c r="M194" s="99" t="s">
        <v>17</v>
      </c>
      <c r="N194" s="99" t="s">
        <v>701</v>
      </c>
      <c r="O194" s="156" t="s">
        <v>129</v>
      </c>
      <c r="P194" s="157" t="s">
        <v>574</v>
      </c>
      <c r="Q194" s="149">
        <v>2024</v>
      </c>
      <c r="R194" s="158">
        <f t="shared" si="2"/>
        <v>45542</v>
      </c>
    </row>
    <row r="195" spans="1:18">
      <c r="A195" s="98">
        <v>45542</v>
      </c>
      <c r="B195" s="99" t="s">
        <v>87</v>
      </c>
      <c r="C195" s="99">
        <v>3</v>
      </c>
      <c r="D195" s="100" t="s">
        <v>798</v>
      </c>
      <c r="E195" s="97" t="s">
        <v>240</v>
      </c>
      <c r="F195" s="99">
        <v>85</v>
      </c>
      <c r="G195" s="99" t="s">
        <v>17</v>
      </c>
      <c r="H195" s="99" t="s">
        <v>701</v>
      </c>
      <c r="I195" s="104" t="s">
        <v>77</v>
      </c>
      <c r="J195" s="100" t="s">
        <v>625</v>
      </c>
      <c r="K195" s="99"/>
      <c r="L195" s="99" t="s">
        <v>17</v>
      </c>
      <c r="M195" s="99" t="s">
        <v>17</v>
      </c>
      <c r="N195" s="99" t="s">
        <v>701</v>
      </c>
      <c r="O195" s="156" t="s">
        <v>129</v>
      </c>
      <c r="P195" s="157" t="s">
        <v>574</v>
      </c>
      <c r="Q195" s="149">
        <v>2024</v>
      </c>
      <c r="R195" s="158">
        <f t="shared" si="2"/>
        <v>45542</v>
      </c>
    </row>
    <row r="196" spans="1:18">
      <c r="A196" s="98">
        <v>45542</v>
      </c>
      <c r="B196" s="99" t="s">
        <v>87</v>
      </c>
      <c r="C196" s="99">
        <v>3</v>
      </c>
      <c r="D196" s="100" t="s">
        <v>628</v>
      </c>
      <c r="E196" s="101" t="s">
        <v>630</v>
      </c>
      <c r="F196" s="99">
        <v>45</v>
      </c>
      <c r="G196" s="99" t="s">
        <v>17</v>
      </c>
      <c r="H196" s="99" t="s">
        <v>701</v>
      </c>
      <c r="I196" s="104" t="s">
        <v>63</v>
      </c>
      <c r="J196" s="100" t="s">
        <v>629</v>
      </c>
      <c r="K196" s="99"/>
      <c r="L196" s="99" t="s">
        <v>17</v>
      </c>
      <c r="M196" s="99" t="s">
        <v>17</v>
      </c>
      <c r="N196" s="99" t="s">
        <v>701</v>
      </c>
      <c r="O196" s="156" t="s">
        <v>129</v>
      </c>
      <c r="P196" s="157" t="s">
        <v>574</v>
      </c>
      <c r="Q196" s="149">
        <v>2024</v>
      </c>
      <c r="R196" s="158">
        <f t="shared" ref="R196:R222" si="3">DATE(2024,O196,P196)</f>
        <v>45542</v>
      </c>
    </row>
    <row r="197" spans="1:18">
      <c r="A197" s="98">
        <v>45542</v>
      </c>
      <c r="B197" s="99" t="s">
        <v>87</v>
      </c>
      <c r="C197" s="99">
        <v>3</v>
      </c>
      <c r="D197" s="100" t="s">
        <v>799</v>
      </c>
      <c r="E197" s="101" t="s">
        <v>630</v>
      </c>
      <c r="F197" s="99">
        <v>5</v>
      </c>
      <c r="G197" s="103" t="s">
        <v>17</v>
      </c>
      <c r="H197" s="99" t="s">
        <v>700</v>
      </c>
      <c r="I197" s="104" t="s">
        <v>63</v>
      </c>
      <c r="J197" s="100" t="s">
        <v>629</v>
      </c>
      <c r="K197" s="99"/>
      <c r="L197" s="103" t="s">
        <v>17</v>
      </c>
      <c r="M197" s="103" t="s">
        <v>17</v>
      </c>
      <c r="N197" s="99" t="s">
        <v>700</v>
      </c>
      <c r="O197" s="156" t="s">
        <v>129</v>
      </c>
      <c r="P197" s="157" t="s">
        <v>574</v>
      </c>
      <c r="Q197" s="149">
        <v>2024</v>
      </c>
      <c r="R197" s="158">
        <f t="shared" si="3"/>
        <v>45542</v>
      </c>
    </row>
    <row r="198" spans="1:18">
      <c r="A198" s="98">
        <v>45542</v>
      </c>
      <c r="B198" s="99" t="s">
        <v>312</v>
      </c>
      <c r="C198" s="99">
        <v>4</v>
      </c>
      <c r="D198" s="100" t="s">
        <v>800</v>
      </c>
      <c r="E198" s="97" t="s">
        <v>70</v>
      </c>
      <c r="F198" s="99">
        <v>80</v>
      </c>
      <c r="G198" s="99" t="s">
        <v>17</v>
      </c>
      <c r="H198" s="99" t="s">
        <v>701</v>
      </c>
      <c r="I198" s="104" t="s">
        <v>704</v>
      </c>
      <c r="J198" s="100" t="s">
        <v>69</v>
      </c>
      <c r="K198" s="99"/>
      <c r="L198" s="99" t="s">
        <v>17</v>
      </c>
      <c r="M198" s="99" t="s">
        <v>17</v>
      </c>
      <c r="N198" s="99" t="s">
        <v>701</v>
      </c>
      <c r="O198" s="156" t="s">
        <v>129</v>
      </c>
      <c r="P198" s="157" t="s">
        <v>574</v>
      </c>
      <c r="Q198" s="149">
        <v>2024</v>
      </c>
      <c r="R198" s="158">
        <f t="shared" si="3"/>
        <v>45542</v>
      </c>
    </row>
    <row r="199" spans="1:18">
      <c r="A199" s="98">
        <v>45543</v>
      </c>
      <c r="B199" s="99" t="s">
        <v>11</v>
      </c>
      <c r="C199" s="99">
        <v>2</v>
      </c>
      <c r="D199" s="100" t="s">
        <v>632</v>
      </c>
      <c r="E199" s="97" t="s">
        <v>65</v>
      </c>
      <c r="F199" s="99">
        <v>29</v>
      </c>
      <c r="G199" s="99" t="s">
        <v>17</v>
      </c>
      <c r="H199" s="99" t="s">
        <v>701</v>
      </c>
      <c r="I199" s="104" t="s">
        <v>13</v>
      </c>
      <c r="J199" s="100" t="s">
        <v>633</v>
      </c>
      <c r="K199" s="99"/>
      <c r="L199" s="99" t="s">
        <v>17</v>
      </c>
      <c r="M199" s="99" t="s">
        <v>17</v>
      </c>
      <c r="N199" s="99" t="s">
        <v>701</v>
      </c>
      <c r="O199" s="156" t="s">
        <v>129</v>
      </c>
      <c r="P199" s="157" t="s">
        <v>18</v>
      </c>
      <c r="Q199" s="149">
        <v>2024</v>
      </c>
      <c r="R199" s="158">
        <f t="shared" si="3"/>
        <v>45543</v>
      </c>
    </row>
    <row r="200" spans="1:18">
      <c r="A200" s="98">
        <v>45543</v>
      </c>
      <c r="B200" s="99" t="s">
        <v>11</v>
      </c>
      <c r="C200" s="99">
        <v>2</v>
      </c>
      <c r="D200" s="100" t="s">
        <v>801</v>
      </c>
      <c r="E200" s="101" t="s">
        <v>21</v>
      </c>
      <c r="F200" s="99">
        <v>12</v>
      </c>
      <c r="G200" s="99" t="s">
        <v>17</v>
      </c>
      <c r="H200" s="99" t="s">
        <v>700</v>
      </c>
      <c r="I200" s="104" t="s">
        <v>13</v>
      </c>
      <c r="J200" s="100" t="s">
        <v>633</v>
      </c>
      <c r="K200" s="99"/>
      <c r="L200" s="99" t="s">
        <v>17</v>
      </c>
      <c r="M200" s="99" t="s">
        <v>17</v>
      </c>
      <c r="N200" s="99" t="s">
        <v>700</v>
      </c>
      <c r="O200" s="156" t="s">
        <v>129</v>
      </c>
      <c r="P200" s="157" t="s">
        <v>18</v>
      </c>
      <c r="Q200" s="149">
        <v>2024</v>
      </c>
      <c r="R200" s="158">
        <f t="shared" si="3"/>
        <v>45543</v>
      </c>
    </row>
    <row r="201" spans="1:18">
      <c r="A201" s="98">
        <v>45543</v>
      </c>
      <c r="B201" s="99" t="s">
        <v>11</v>
      </c>
      <c r="C201" s="99">
        <v>2</v>
      </c>
      <c r="D201" s="100" t="s">
        <v>802</v>
      </c>
      <c r="E201" s="101" t="s">
        <v>294</v>
      </c>
      <c r="F201" s="99">
        <v>88</v>
      </c>
      <c r="G201" s="99" t="s">
        <v>17</v>
      </c>
      <c r="H201" s="99" t="s">
        <v>701</v>
      </c>
      <c r="I201" s="104" t="s">
        <v>77</v>
      </c>
      <c r="J201" s="100" t="s">
        <v>637</v>
      </c>
      <c r="K201" s="99"/>
      <c r="L201" s="99" t="s">
        <v>17</v>
      </c>
      <c r="M201" s="99" t="s">
        <v>17</v>
      </c>
      <c r="N201" s="99" t="s">
        <v>701</v>
      </c>
      <c r="O201" s="156" t="s">
        <v>129</v>
      </c>
      <c r="P201" s="157" t="s">
        <v>18</v>
      </c>
      <c r="Q201" s="149">
        <v>2024</v>
      </c>
      <c r="R201" s="158">
        <f t="shared" si="3"/>
        <v>45543</v>
      </c>
    </row>
    <row r="202" spans="1:18">
      <c r="A202" s="98">
        <v>45543</v>
      </c>
      <c r="B202" s="99" t="s">
        <v>11</v>
      </c>
      <c r="C202" s="99">
        <v>2</v>
      </c>
      <c r="D202" s="100" t="s">
        <v>803</v>
      </c>
      <c r="E202" s="97" t="s">
        <v>231</v>
      </c>
      <c r="F202" s="99">
        <v>58</v>
      </c>
      <c r="G202" s="99" t="s">
        <v>711</v>
      </c>
      <c r="H202" s="99" t="s">
        <v>701</v>
      </c>
      <c r="I202" s="104" t="s">
        <v>49</v>
      </c>
      <c r="J202" s="100" t="s">
        <v>641</v>
      </c>
      <c r="K202" s="99"/>
      <c r="L202" s="99" t="s">
        <v>17</v>
      </c>
      <c r="M202" s="99" t="s">
        <v>711</v>
      </c>
      <c r="N202" s="99" t="s">
        <v>701</v>
      </c>
      <c r="O202" s="156" t="s">
        <v>129</v>
      </c>
      <c r="P202" s="157" t="s">
        <v>18</v>
      </c>
      <c r="Q202" s="149">
        <v>2024</v>
      </c>
      <c r="R202" s="158">
        <f t="shared" si="3"/>
        <v>45543</v>
      </c>
    </row>
    <row r="203" spans="1:18">
      <c r="A203" s="98">
        <v>45543</v>
      </c>
      <c r="B203" s="99" t="s">
        <v>11</v>
      </c>
      <c r="C203" s="99">
        <v>2</v>
      </c>
      <c r="D203" s="100" t="s">
        <v>642</v>
      </c>
      <c r="E203" s="97" t="s">
        <v>453</v>
      </c>
      <c r="F203" s="99">
        <v>113</v>
      </c>
      <c r="G203" s="99" t="s">
        <v>17</v>
      </c>
      <c r="H203" s="99" t="s">
        <v>701</v>
      </c>
      <c r="I203" s="104" t="s">
        <v>33</v>
      </c>
      <c r="J203" s="100" t="s">
        <v>643</v>
      </c>
      <c r="K203" s="99"/>
      <c r="L203" s="99" t="s">
        <v>36</v>
      </c>
      <c r="M203" s="99" t="s">
        <v>17</v>
      </c>
      <c r="N203" s="99" t="s">
        <v>701</v>
      </c>
      <c r="O203" s="156" t="s">
        <v>129</v>
      </c>
      <c r="P203" s="157" t="s">
        <v>18</v>
      </c>
      <c r="Q203" s="149">
        <v>2024</v>
      </c>
      <c r="R203" s="158">
        <f t="shared" si="3"/>
        <v>45543</v>
      </c>
    </row>
    <row r="204" spans="1:18">
      <c r="A204" s="98">
        <v>45543</v>
      </c>
      <c r="B204" s="99" t="s">
        <v>644</v>
      </c>
      <c r="C204" s="99">
        <v>1</v>
      </c>
      <c r="D204" s="100" t="s">
        <v>645</v>
      </c>
      <c r="E204" s="97" t="s">
        <v>453</v>
      </c>
      <c r="F204" s="99">
        <v>113</v>
      </c>
      <c r="G204" s="103" t="s">
        <v>17</v>
      </c>
      <c r="H204" s="99" t="s">
        <v>701</v>
      </c>
      <c r="I204" s="104" t="s">
        <v>33</v>
      </c>
      <c r="J204" s="100" t="s">
        <v>643</v>
      </c>
      <c r="K204" s="99"/>
      <c r="L204" s="103" t="s">
        <v>36</v>
      </c>
      <c r="M204" s="103" t="s">
        <v>17</v>
      </c>
      <c r="N204" s="99" t="s">
        <v>701</v>
      </c>
      <c r="O204" s="156" t="s">
        <v>129</v>
      </c>
      <c r="P204" s="157" t="s">
        <v>18</v>
      </c>
      <c r="Q204" s="149">
        <v>2024</v>
      </c>
      <c r="R204" s="158">
        <f t="shared" si="3"/>
        <v>45543</v>
      </c>
    </row>
    <row r="205" spans="1:18">
      <c r="A205" s="98">
        <v>45543</v>
      </c>
      <c r="B205" s="99" t="s">
        <v>31</v>
      </c>
      <c r="C205" s="99">
        <v>3</v>
      </c>
      <c r="D205" s="100" t="s">
        <v>804</v>
      </c>
      <c r="E205" s="101" t="s">
        <v>648</v>
      </c>
      <c r="F205" s="99">
        <v>173</v>
      </c>
      <c r="G205" s="99" t="s">
        <v>17</v>
      </c>
      <c r="H205" s="99" t="s">
        <v>701</v>
      </c>
      <c r="I205" s="104" t="s">
        <v>44</v>
      </c>
      <c r="J205" s="100" t="s">
        <v>647</v>
      </c>
      <c r="K205" s="99"/>
      <c r="L205" s="99" t="s">
        <v>204</v>
      </c>
      <c r="M205" s="99" t="s">
        <v>17</v>
      </c>
      <c r="N205" s="99" t="s">
        <v>701</v>
      </c>
      <c r="O205" s="156" t="s">
        <v>129</v>
      </c>
      <c r="P205" s="157" t="s">
        <v>18</v>
      </c>
      <c r="Q205" s="149">
        <v>2024</v>
      </c>
      <c r="R205" s="158">
        <f t="shared" si="3"/>
        <v>45543</v>
      </c>
    </row>
    <row r="206" spans="1:18">
      <c r="A206" s="98">
        <v>45543</v>
      </c>
      <c r="B206" s="99" t="s">
        <v>31</v>
      </c>
      <c r="C206" s="99">
        <v>3</v>
      </c>
      <c r="D206" s="100" t="s">
        <v>650</v>
      </c>
      <c r="E206" s="97" t="s">
        <v>651</v>
      </c>
      <c r="F206" s="99">
        <v>143</v>
      </c>
      <c r="G206" s="99" t="s">
        <v>17</v>
      </c>
      <c r="H206" s="99" t="s">
        <v>701</v>
      </c>
      <c r="I206" s="104" t="s">
        <v>44</v>
      </c>
      <c r="J206" s="100" t="s">
        <v>647</v>
      </c>
      <c r="K206" s="99"/>
      <c r="L206" s="99" t="s">
        <v>200</v>
      </c>
      <c r="M206" s="99" t="s">
        <v>17</v>
      </c>
      <c r="N206" s="99" t="s">
        <v>701</v>
      </c>
      <c r="O206" s="156" t="s">
        <v>129</v>
      </c>
      <c r="P206" s="157" t="s">
        <v>18</v>
      </c>
      <c r="Q206" s="149">
        <v>2024</v>
      </c>
      <c r="R206" s="158">
        <f t="shared" si="3"/>
        <v>45543</v>
      </c>
    </row>
    <row r="207" spans="1:18">
      <c r="A207" s="98">
        <v>45543</v>
      </c>
      <c r="B207" s="99" t="s">
        <v>31</v>
      </c>
      <c r="C207" s="99">
        <v>3</v>
      </c>
      <c r="D207" s="100" t="s">
        <v>805</v>
      </c>
      <c r="E207" s="97" t="s">
        <v>654</v>
      </c>
      <c r="F207" s="99">
        <v>110</v>
      </c>
      <c r="G207" s="99" t="s">
        <v>17</v>
      </c>
      <c r="H207" s="99" t="s">
        <v>701</v>
      </c>
      <c r="I207" s="104" t="s">
        <v>73</v>
      </c>
      <c r="J207" s="100" t="s">
        <v>653</v>
      </c>
      <c r="K207" s="99"/>
      <c r="L207" s="99" t="s">
        <v>36</v>
      </c>
      <c r="M207" s="99" t="s">
        <v>17</v>
      </c>
      <c r="N207" s="99" t="s">
        <v>701</v>
      </c>
      <c r="O207" s="156" t="s">
        <v>129</v>
      </c>
      <c r="P207" s="157" t="s">
        <v>18</v>
      </c>
      <c r="Q207" s="149">
        <v>2024</v>
      </c>
      <c r="R207" s="158">
        <f t="shared" si="3"/>
        <v>45543</v>
      </c>
    </row>
    <row r="208" spans="1:18">
      <c r="A208" s="98">
        <v>45543</v>
      </c>
      <c r="B208" s="99" t="s">
        <v>31</v>
      </c>
      <c r="C208" s="99">
        <v>3</v>
      </c>
      <c r="D208" s="100" t="s">
        <v>656</v>
      </c>
      <c r="E208" s="97" t="s">
        <v>651</v>
      </c>
      <c r="F208" s="99">
        <v>60</v>
      </c>
      <c r="G208" s="99" t="s">
        <v>17</v>
      </c>
      <c r="H208" s="99" t="s">
        <v>701</v>
      </c>
      <c r="I208" s="104" t="s">
        <v>53</v>
      </c>
      <c r="J208" s="100" t="s">
        <v>657</v>
      </c>
      <c r="K208" s="99"/>
      <c r="L208" s="99" t="s">
        <v>17</v>
      </c>
      <c r="M208" s="99" t="s">
        <v>17</v>
      </c>
      <c r="N208" s="99" t="s">
        <v>701</v>
      </c>
      <c r="O208" s="156" t="s">
        <v>129</v>
      </c>
      <c r="P208" s="157" t="s">
        <v>18</v>
      </c>
      <c r="Q208" s="149">
        <v>2024</v>
      </c>
      <c r="R208" s="158">
        <f t="shared" si="3"/>
        <v>45543</v>
      </c>
    </row>
    <row r="209" spans="1:18">
      <c r="A209" s="98">
        <v>45543</v>
      </c>
      <c r="B209" s="106" t="s">
        <v>31</v>
      </c>
      <c r="C209" s="106">
        <v>3</v>
      </c>
      <c r="D209" s="106" t="s">
        <v>806</v>
      </c>
      <c r="E209" s="97" t="s">
        <v>450</v>
      </c>
      <c r="F209" s="106">
        <v>3</v>
      </c>
      <c r="G209" s="103" t="s">
        <v>17</v>
      </c>
      <c r="H209" s="103" t="s">
        <v>700</v>
      </c>
      <c r="I209" s="106" t="s">
        <v>53</v>
      </c>
      <c r="J209" s="107" t="s">
        <v>657</v>
      </c>
      <c r="K209" s="106"/>
      <c r="L209" s="103" t="s">
        <v>17</v>
      </c>
      <c r="M209" s="103" t="s">
        <v>17</v>
      </c>
      <c r="N209" s="103" t="s">
        <v>700</v>
      </c>
      <c r="O209" s="159" t="s">
        <v>129</v>
      </c>
      <c r="P209" s="157" t="s">
        <v>18</v>
      </c>
      <c r="Q209" s="149">
        <v>2024</v>
      </c>
      <c r="R209" s="158">
        <f t="shared" si="3"/>
        <v>45543</v>
      </c>
    </row>
    <row r="210" spans="1:18">
      <c r="A210" s="98">
        <v>45543</v>
      </c>
      <c r="B210" s="106" t="s">
        <v>31</v>
      </c>
      <c r="C210" s="106">
        <v>3</v>
      </c>
      <c r="D210" s="106" t="s">
        <v>659</v>
      </c>
      <c r="E210" s="97" t="s">
        <v>661</v>
      </c>
      <c r="F210" s="106">
        <v>36</v>
      </c>
      <c r="G210" s="103" t="s">
        <v>17</v>
      </c>
      <c r="H210" s="103" t="s">
        <v>701</v>
      </c>
      <c r="I210" s="106" t="s">
        <v>39</v>
      </c>
      <c r="J210" s="107" t="s">
        <v>660</v>
      </c>
      <c r="K210" s="106"/>
      <c r="L210" s="103" t="s">
        <v>662</v>
      </c>
      <c r="M210" s="103" t="s">
        <v>17</v>
      </c>
      <c r="N210" s="103" t="s">
        <v>701</v>
      </c>
      <c r="O210" s="156" t="s">
        <v>129</v>
      </c>
      <c r="P210" s="157" t="s">
        <v>18</v>
      </c>
      <c r="Q210" s="149">
        <v>2024</v>
      </c>
      <c r="R210" s="158">
        <f t="shared" si="3"/>
        <v>45543</v>
      </c>
    </row>
    <row r="211" spans="1:18">
      <c r="A211" s="98">
        <v>45543</v>
      </c>
      <c r="B211" s="106" t="s">
        <v>31</v>
      </c>
      <c r="C211" s="106">
        <v>3</v>
      </c>
      <c r="D211" s="106" t="s">
        <v>664</v>
      </c>
      <c r="E211" s="101" t="s">
        <v>360</v>
      </c>
      <c r="F211" s="106">
        <v>174</v>
      </c>
      <c r="G211" s="103" t="s">
        <v>17</v>
      </c>
      <c r="H211" s="103" t="s">
        <v>701</v>
      </c>
      <c r="I211" s="106" t="s">
        <v>39</v>
      </c>
      <c r="J211" s="107" t="s">
        <v>660</v>
      </c>
      <c r="K211" s="106"/>
      <c r="L211" s="103" t="s">
        <v>665</v>
      </c>
      <c r="M211" s="103" t="s">
        <v>17</v>
      </c>
      <c r="N211" s="103" t="s">
        <v>701</v>
      </c>
      <c r="O211" s="159" t="s">
        <v>129</v>
      </c>
      <c r="P211" s="157" t="s">
        <v>18</v>
      </c>
      <c r="Q211" s="149">
        <v>2024</v>
      </c>
      <c r="R211" s="158">
        <f t="shared" si="3"/>
        <v>45543</v>
      </c>
    </row>
    <row r="212" spans="1:18">
      <c r="A212" s="98">
        <v>45543</v>
      </c>
      <c r="B212" s="106" t="s">
        <v>31</v>
      </c>
      <c r="C212" s="106">
        <v>3</v>
      </c>
      <c r="D212" s="106" t="s">
        <v>807</v>
      </c>
      <c r="E212" s="101" t="s">
        <v>271</v>
      </c>
      <c r="F212" s="106">
        <v>30</v>
      </c>
      <c r="G212" s="103" t="s">
        <v>17</v>
      </c>
      <c r="H212" s="103" t="s">
        <v>701</v>
      </c>
      <c r="I212" s="106" t="s">
        <v>266</v>
      </c>
      <c r="J212" s="107" t="s">
        <v>667</v>
      </c>
      <c r="K212" s="106"/>
      <c r="L212" s="103" t="s">
        <v>17</v>
      </c>
      <c r="M212" s="103" t="s">
        <v>17</v>
      </c>
      <c r="N212" s="103" t="s">
        <v>701</v>
      </c>
      <c r="O212" s="159" t="s">
        <v>129</v>
      </c>
      <c r="P212" s="157" t="s">
        <v>18</v>
      </c>
      <c r="Q212" s="149">
        <v>2024</v>
      </c>
      <c r="R212" s="158">
        <f t="shared" si="3"/>
        <v>45543</v>
      </c>
    </row>
    <row r="213" spans="1:18">
      <c r="A213" s="98">
        <v>45543</v>
      </c>
      <c r="B213" s="106" t="s">
        <v>80</v>
      </c>
      <c r="C213" s="106">
        <v>2</v>
      </c>
      <c r="D213" s="106" t="s">
        <v>671</v>
      </c>
      <c r="E213" s="101" t="s">
        <v>673</v>
      </c>
      <c r="F213" s="106">
        <v>378</v>
      </c>
      <c r="G213" s="103" t="s">
        <v>17</v>
      </c>
      <c r="H213" s="103" t="s">
        <v>701</v>
      </c>
      <c r="I213" s="106" t="s">
        <v>44</v>
      </c>
      <c r="J213" s="107" t="s">
        <v>672</v>
      </c>
      <c r="K213" s="106"/>
      <c r="L213" s="103" t="s">
        <v>36</v>
      </c>
      <c r="M213" s="103" t="s">
        <v>17</v>
      </c>
      <c r="N213" s="103" t="s">
        <v>701</v>
      </c>
      <c r="O213" s="159" t="s">
        <v>129</v>
      </c>
      <c r="P213" s="157" t="s">
        <v>18</v>
      </c>
      <c r="Q213" s="149">
        <v>2024</v>
      </c>
      <c r="R213" s="158">
        <f t="shared" si="3"/>
        <v>45543</v>
      </c>
    </row>
    <row r="214" spans="1:18">
      <c r="A214" s="98">
        <v>45543</v>
      </c>
      <c r="B214" s="106" t="s">
        <v>80</v>
      </c>
      <c r="C214" s="106">
        <v>2</v>
      </c>
      <c r="D214" s="106" t="s">
        <v>675</v>
      </c>
      <c r="E214" s="97" t="s">
        <v>294</v>
      </c>
      <c r="F214" s="106">
        <v>50</v>
      </c>
      <c r="G214" s="103" t="s">
        <v>17</v>
      </c>
      <c r="H214" s="103" t="s">
        <v>701</v>
      </c>
      <c r="I214" s="106" t="s">
        <v>13</v>
      </c>
      <c r="J214" s="107" t="s">
        <v>676</v>
      </c>
      <c r="K214" s="106"/>
      <c r="L214" s="103" t="s">
        <v>17</v>
      </c>
      <c r="M214" s="103" t="s">
        <v>17</v>
      </c>
      <c r="N214" s="103" t="s">
        <v>701</v>
      </c>
      <c r="O214" s="156" t="s">
        <v>129</v>
      </c>
      <c r="P214" s="157" t="s">
        <v>18</v>
      </c>
      <c r="Q214" s="149">
        <v>2024</v>
      </c>
      <c r="R214" s="158">
        <f t="shared" si="3"/>
        <v>45543</v>
      </c>
    </row>
    <row r="215" spans="1:18">
      <c r="A215" s="98">
        <v>45543</v>
      </c>
      <c r="B215" s="106" t="s">
        <v>80</v>
      </c>
      <c r="C215" s="106">
        <v>2</v>
      </c>
      <c r="D215" s="107" t="s">
        <v>808</v>
      </c>
      <c r="E215" s="97" t="s">
        <v>231</v>
      </c>
      <c r="F215" s="106">
        <v>58</v>
      </c>
      <c r="G215" s="103" t="s">
        <v>711</v>
      </c>
      <c r="H215" s="103" t="s">
        <v>701</v>
      </c>
      <c r="I215" s="106" t="s">
        <v>27</v>
      </c>
      <c r="J215" s="107" t="s">
        <v>678</v>
      </c>
      <c r="K215" s="106"/>
      <c r="L215" s="103" t="s">
        <v>17</v>
      </c>
      <c r="M215" s="103" t="s">
        <v>711</v>
      </c>
      <c r="N215" s="103" t="s">
        <v>701</v>
      </c>
      <c r="O215" s="159" t="s">
        <v>129</v>
      </c>
      <c r="P215" s="157" t="s">
        <v>18</v>
      </c>
      <c r="Q215" s="149">
        <v>2024</v>
      </c>
      <c r="R215" s="158">
        <f t="shared" si="3"/>
        <v>45543</v>
      </c>
    </row>
    <row r="216" spans="1:18">
      <c r="A216" s="98">
        <v>45543</v>
      </c>
      <c r="B216" s="106" t="s">
        <v>87</v>
      </c>
      <c r="C216" s="106">
        <v>3</v>
      </c>
      <c r="D216" s="107" t="s">
        <v>809</v>
      </c>
      <c r="E216" s="101" t="s">
        <v>615</v>
      </c>
      <c r="F216" s="106">
        <v>14</v>
      </c>
      <c r="G216" s="103" t="s">
        <v>17</v>
      </c>
      <c r="H216" s="103" t="s">
        <v>700</v>
      </c>
      <c r="I216" s="106" t="s">
        <v>49</v>
      </c>
      <c r="J216" s="107" t="s">
        <v>680</v>
      </c>
      <c r="K216" s="106"/>
      <c r="L216" s="103" t="s">
        <v>17</v>
      </c>
      <c r="M216" s="103" t="s">
        <v>17</v>
      </c>
      <c r="N216" s="103" t="s">
        <v>700</v>
      </c>
      <c r="O216" s="159" t="s">
        <v>129</v>
      </c>
      <c r="P216" s="157" t="s">
        <v>18</v>
      </c>
      <c r="Q216" s="149">
        <v>2024</v>
      </c>
      <c r="R216" s="158">
        <f t="shared" si="3"/>
        <v>45543</v>
      </c>
    </row>
    <row r="217" spans="1:18">
      <c r="A217" s="98">
        <v>45543</v>
      </c>
      <c r="B217" s="106" t="s">
        <v>87</v>
      </c>
      <c r="C217" s="106">
        <v>3</v>
      </c>
      <c r="D217" s="106" t="s">
        <v>681</v>
      </c>
      <c r="E217" s="97" t="s">
        <v>309</v>
      </c>
      <c r="F217" s="106">
        <v>22</v>
      </c>
      <c r="G217" s="103" t="s">
        <v>17</v>
      </c>
      <c r="H217" s="103" t="s">
        <v>701</v>
      </c>
      <c r="I217" s="106" t="s">
        <v>49</v>
      </c>
      <c r="J217" s="107" t="s">
        <v>680</v>
      </c>
      <c r="K217" s="106"/>
      <c r="L217" s="103" t="s">
        <v>17</v>
      </c>
      <c r="M217" s="103" t="s">
        <v>17</v>
      </c>
      <c r="N217" s="103" t="s">
        <v>701</v>
      </c>
      <c r="O217" s="156" t="s">
        <v>129</v>
      </c>
      <c r="P217" s="157" t="s">
        <v>18</v>
      </c>
      <c r="Q217" s="149">
        <v>2024</v>
      </c>
      <c r="R217" s="158">
        <f t="shared" si="3"/>
        <v>45543</v>
      </c>
    </row>
    <row r="218" spans="1:18">
      <c r="A218" s="98">
        <v>45543</v>
      </c>
      <c r="B218" s="106" t="s">
        <v>87</v>
      </c>
      <c r="C218" s="106">
        <v>3</v>
      </c>
      <c r="D218" s="106" t="s">
        <v>810</v>
      </c>
      <c r="E218" s="101" t="s">
        <v>591</v>
      </c>
      <c r="F218" s="106">
        <v>12</v>
      </c>
      <c r="G218" s="103" t="s">
        <v>17</v>
      </c>
      <c r="H218" s="103" t="s">
        <v>731</v>
      </c>
      <c r="I218" s="106" t="s">
        <v>49</v>
      </c>
      <c r="J218" s="107" t="s">
        <v>680</v>
      </c>
      <c r="K218" s="106"/>
      <c r="L218" s="103" t="s">
        <v>17</v>
      </c>
      <c r="M218" s="103" t="s">
        <v>17</v>
      </c>
      <c r="N218" s="103" t="s">
        <v>731</v>
      </c>
      <c r="O218" s="159" t="s">
        <v>129</v>
      </c>
      <c r="P218" s="157" t="s">
        <v>18</v>
      </c>
      <c r="Q218" s="149">
        <v>2024</v>
      </c>
      <c r="R218" s="158">
        <f t="shared" si="3"/>
        <v>45543</v>
      </c>
    </row>
    <row r="219" spans="1:18">
      <c r="A219" s="98">
        <v>45543</v>
      </c>
      <c r="B219" s="106" t="s">
        <v>87</v>
      </c>
      <c r="C219" s="106">
        <v>3</v>
      </c>
      <c r="D219" s="106" t="s">
        <v>811</v>
      </c>
      <c r="E219" s="101" t="s">
        <v>234</v>
      </c>
      <c r="F219" s="106">
        <v>5</v>
      </c>
      <c r="G219" s="103" t="s">
        <v>711</v>
      </c>
      <c r="H219" s="103" t="s">
        <v>701</v>
      </c>
      <c r="I219" s="106" t="s">
        <v>685</v>
      </c>
      <c r="J219" s="107" t="s">
        <v>686</v>
      </c>
      <c r="K219" s="106"/>
      <c r="L219" s="103" t="s">
        <v>17</v>
      </c>
      <c r="M219" s="103" t="s">
        <v>711</v>
      </c>
      <c r="N219" s="103" t="s">
        <v>701</v>
      </c>
      <c r="O219" s="159" t="s">
        <v>129</v>
      </c>
      <c r="P219" s="157" t="s">
        <v>18</v>
      </c>
      <c r="Q219" s="149">
        <v>2024</v>
      </c>
      <c r="R219" s="158">
        <f t="shared" si="3"/>
        <v>45543</v>
      </c>
    </row>
    <row r="220" spans="1:18">
      <c r="A220" s="98">
        <v>45543</v>
      </c>
      <c r="B220" s="106" t="s">
        <v>87</v>
      </c>
      <c r="C220" s="106">
        <v>3</v>
      </c>
      <c r="D220" s="106" t="s">
        <v>812</v>
      </c>
      <c r="E220" s="97" t="s">
        <v>689</v>
      </c>
      <c r="F220" s="106">
        <v>2</v>
      </c>
      <c r="G220" s="103" t="s">
        <v>17</v>
      </c>
      <c r="H220" s="103" t="s">
        <v>700</v>
      </c>
      <c r="I220" s="106" t="s">
        <v>77</v>
      </c>
      <c r="J220" s="107" t="s">
        <v>688</v>
      </c>
      <c r="K220" s="106"/>
      <c r="L220" s="103" t="s">
        <v>17</v>
      </c>
      <c r="M220" s="103" t="s">
        <v>17</v>
      </c>
      <c r="N220" s="103" t="s">
        <v>700</v>
      </c>
      <c r="O220" s="159" t="s">
        <v>129</v>
      </c>
      <c r="P220" s="157" t="s">
        <v>18</v>
      </c>
      <c r="Q220" s="149">
        <v>2024</v>
      </c>
      <c r="R220" s="158">
        <f t="shared" si="3"/>
        <v>45543</v>
      </c>
    </row>
    <row r="221" spans="1:18">
      <c r="A221" s="98">
        <v>45543</v>
      </c>
      <c r="B221" s="106" t="s">
        <v>87</v>
      </c>
      <c r="C221" s="106">
        <v>3</v>
      </c>
      <c r="D221" s="106" t="s">
        <v>690</v>
      </c>
      <c r="E221" s="97" t="s">
        <v>691</v>
      </c>
      <c r="F221" s="106">
        <v>94</v>
      </c>
      <c r="G221" s="103" t="s">
        <v>17</v>
      </c>
      <c r="H221" s="103" t="s">
        <v>701</v>
      </c>
      <c r="I221" s="106" t="s">
        <v>77</v>
      </c>
      <c r="J221" s="107" t="s">
        <v>688</v>
      </c>
      <c r="K221" s="106"/>
      <c r="L221" s="103" t="s">
        <v>17</v>
      </c>
      <c r="M221" s="103" t="s">
        <v>17</v>
      </c>
      <c r="N221" s="103" t="s">
        <v>701</v>
      </c>
      <c r="O221" s="159" t="s">
        <v>129</v>
      </c>
      <c r="P221" s="157" t="s">
        <v>18</v>
      </c>
      <c r="Q221" s="149">
        <v>2024</v>
      </c>
      <c r="R221" s="158">
        <f t="shared" si="3"/>
        <v>45543</v>
      </c>
    </row>
    <row r="222" spans="1:18">
      <c r="A222" s="98">
        <v>45543</v>
      </c>
      <c r="B222" s="106" t="s">
        <v>87</v>
      </c>
      <c r="C222" s="106">
        <v>3</v>
      </c>
      <c r="D222" s="106" t="s">
        <v>813</v>
      </c>
      <c r="E222" s="101" t="s">
        <v>271</v>
      </c>
      <c r="F222" s="106">
        <v>30</v>
      </c>
      <c r="G222" s="103" t="s">
        <v>17</v>
      </c>
      <c r="H222" s="103" t="s">
        <v>701</v>
      </c>
      <c r="I222" s="106" t="s">
        <v>266</v>
      </c>
      <c r="J222" s="107" t="s">
        <v>667</v>
      </c>
      <c r="K222" s="106"/>
      <c r="L222" s="103" t="s">
        <v>17</v>
      </c>
      <c r="M222" s="103" t="s">
        <v>17</v>
      </c>
      <c r="N222" s="103" t="s">
        <v>701</v>
      </c>
      <c r="O222" s="159" t="s">
        <v>129</v>
      </c>
      <c r="P222" s="157" t="s">
        <v>18</v>
      </c>
      <c r="Q222" s="149">
        <v>2024</v>
      </c>
      <c r="R222" s="158">
        <f t="shared" si="3"/>
        <v>45543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I130"/>
  <sheetViews>
    <sheetView workbookViewId="0">
      <selection activeCell="G1" sqref="G1"/>
    </sheetView>
  </sheetViews>
  <sheetFormatPr defaultColWidth="9" defaultRowHeight="97.5" customHeight="1"/>
  <cols>
    <col min="1" max="1" width="11.3796296296296" style="132" customWidth="1"/>
    <col min="2" max="2" width="15.3796296296296" style="133" customWidth="1"/>
    <col min="3" max="3" width="6" style="134" customWidth="1"/>
    <col min="4" max="4" width="15.3796296296296" style="135" customWidth="1"/>
    <col min="5" max="5" width="0.75" style="135" customWidth="1"/>
    <col min="6" max="6" width="11.3796296296296" style="132" customWidth="1"/>
    <col min="7" max="7" width="15.3796296296296" style="133" customWidth="1"/>
    <col min="8" max="8" width="5.62962962962963" style="134" customWidth="1"/>
    <col min="9" max="9" width="16.1296296296296" style="135" customWidth="1"/>
    <col min="10" max="256" width="9" style="136"/>
    <col min="257" max="257" width="11" style="136" customWidth="1"/>
    <col min="258" max="258" width="12" style="136" customWidth="1"/>
    <col min="259" max="259" width="6" style="136" customWidth="1"/>
    <col min="260" max="260" width="15.3796296296296" style="136" customWidth="1"/>
    <col min="261" max="261" width="0.75" style="136" customWidth="1"/>
    <col min="262" max="262" width="11" style="136" customWidth="1"/>
    <col min="263" max="263" width="12" style="136" customWidth="1"/>
    <col min="264" max="264" width="6" style="136" customWidth="1"/>
    <col min="265" max="265" width="15.3796296296296" style="136" customWidth="1"/>
    <col min="266" max="512" width="9" style="136"/>
    <col min="513" max="513" width="11" style="136" customWidth="1"/>
    <col min="514" max="514" width="12" style="136" customWidth="1"/>
    <col min="515" max="515" width="6" style="136" customWidth="1"/>
    <col min="516" max="516" width="15.3796296296296" style="136" customWidth="1"/>
    <col min="517" max="517" width="0.75" style="136" customWidth="1"/>
    <col min="518" max="518" width="11" style="136" customWidth="1"/>
    <col min="519" max="519" width="12" style="136" customWidth="1"/>
    <col min="520" max="520" width="6" style="136" customWidth="1"/>
    <col min="521" max="521" width="15.3796296296296" style="136" customWidth="1"/>
    <col min="522" max="768" width="9" style="136"/>
    <col min="769" max="769" width="11" style="136" customWidth="1"/>
    <col min="770" max="770" width="12" style="136" customWidth="1"/>
    <col min="771" max="771" width="6" style="136" customWidth="1"/>
    <col min="772" max="772" width="15.3796296296296" style="136" customWidth="1"/>
    <col min="773" max="773" width="0.75" style="136" customWidth="1"/>
    <col min="774" max="774" width="11" style="136" customWidth="1"/>
    <col min="775" max="775" width="12" style="136" customWidth="1"/>
    <col min="776" max="776" width="6" style="136" customWidth="1"/>
    <col min="777" max="777" width="15.3796296296296" style="136" customWidth="1"/>
    <col min="778" max="1024" width="9" style="136"/>
    <col min="1025" max="1025" width="11" style="136" customWidth="1"/>
    <col min="1026" max="1026" width="12" style="136" customWidth="1"/>
    <col min="1027" max="1027" width="6" style="136" customWidth="1"/>
    <col min="1028" max="1028" width="15.3796296296296" style="136" customWidth="1"/>
    <col min="1029" max="1029" width="0.75" style="136" customWidth="1"/>
    <col min="1030" max="1030" width="11" style="136" customWidth="1"/>
    <col min="1031" max="1031" width="12" style="136" customWidth="1"/>
    <col min="1032" max="1032" width="6" style="136" customWidth="1"/>
    <col min="1033" max="1033" width="15.3796296296296" style="136" customWidth="1"/>
    <col min="1034" max="1280" width="9" style="136"/>
    <col min="1281" max="1281" width="11" style="136" customWidth="1"/>
    <col min="1282" max="1282" width="12" style="136" customWidth="1"/>
    <col min="1283" max="1283" width="6" style="136" customWidth="1"/>
    <col min="1284" max="1284" width="15.3796296296296" style="136" customWidth="1"/>
    <col min="1285" max="1285" width="0.75" style="136" customWidth="1"/>
    <col min="1286" max="1286" width="11" style="136" customWidth="1"/>
    <col min="1287" max="1287" width="12" style="136" customWidth="1"/>
    <col min="1288" max="1288" width="6" style="136" customWidth="1"/>
    <col min="1289" max="1289" width="15.3796296296296" style="136" customWidth="1"/>
    <col min="1290" max="1536" width="9" style="136"/>
    <col min="1537" max="1537" width="11" style="136" customWidth="1"/>
    <col min="1538" max="1538" width="12" style="136" customWidth="1"/>
    <col min="1539" max="1539" width="6" style="136" customWidth="1"/>
    <col min="1540" max="1540" width="15.3796296296296" style="136" customWidth="1"/>
    <col min="1541" max="1541" width="0.75" style="136" customWidth="1"/>
    <col min="1542" max="1542" width="11" style="136" customWidth="1"/>
    <col min="1543" max="1543" width="12" style="136" customWidth="1"/>
    <col min="1544" max="1544" width="6" style="136" customWidth="1"/>
    <col min="1545" max="1545" width="15.3796296296296" style="136" customWidth="1"/>
    <col min="1546" max="1792" width="9" style="136"/>
    <col min="1793" max="1793" width="11" style="136" customWidth="1"/>
    <col min="1794" max="1794" width="12" style="136" customWidth="1"/>
    <col min="1795" max="1795" width="6" style="136" customWidth="1"/>
    <col min="1796" max="1796" width="15.3796296296296" style="136" customWidth="1"/>
    <col min="1797" max="1797" width="0.75" style="136" customWidth="1"/>
    <col min="1798" max="1798" width="11" style="136" customWidth="1"/>
    <col min="1799" max="1799" width="12" style="136" customWidth="1"/>
    <col min="1800" max="1800" width="6" style="136" customWidth="1"/>
    <col min="1801" max="1801" width="15.3796296296296" style="136" customWidth="1"/>
    <col min="1802" max="2048" width="9" style="136"/>
    <col min="2049" max="2049" width="11" style="136" customWidth="1"/>
    <col min="2050" max="2050" width="12" style="136" customWidth="1"/>
    <col min="2051" max="2051" width="6" style="136" customWidth="1"/>
    <col min="2052" max="2052" width="15.3796296296296" style="136" customWidth="1"/>
    <col min="2053" max="2053" width="0.75" style="136" customWidth="1"/>
    <col min="2054" max="2054" width="11" style="136" customWidth="1"/>
    <col min="2055" max="2055" width="12" style="136" customWidth="1"/>
    <col min="2056" max="2056" width="6" style="136" customWidth="1"/>
    <col min="2057" max="2057" width="15.3796296296296" style="136" customWidth="1"/>
    <col min="2058" max="2304" width="9" style="136"/>
    <col min="2305" max="2305" width="11" style="136" customWidth="1"/>
    <col min="2306" max="2306" width="12" style="136" customWidth="1"/>
    <col min="2307" max="2307" width="6" style="136" customWidth="1"/>
    <col min="2308" max="2308" width="15.3796296296296" style="136" customWidth="1"/>
    <col min="2309" max="2309" width="0.75" style="136" customWidth="1"/>
    <col min="2310" max="2310" width="11" style="136" customWidth="1"/>
    <col min="2311" max="2311" width="12" style="136" customWidth="1"/>
    <col min="2312" max="2312" width="6" style="136" customWidth="1"/>
    <col min="2313" max="2313" width="15.3796296296296" style="136" customWidth="1"/>
    <col min="2314" max="2560" width="9" style="136"/>
    <col min="2561" max="2561" width="11" style="136" customWidth="1"/>
    <col min="2562" max="2562" width="12" style="136" customWidth="1"/>
    <col min="2563" max="2563" width="6" style="136" customWidth="1"/>
    <col min="2564" max="2564" width="15.3796296296296" style="136" customWidth="1"/>
    <col min="2565" max="2565" width="0.75" style="136" customWidth="1"/>
    <col min="2566" max="2566" width="11" style="136" customWidth="1"/>
    <col min="2567" max="2567" width="12" style="136" customWidth="1"/>
    <col min="2568" max="2568" width="6" style="136" customWidth="1"/>
    <col min="2569" max="2569" width="15.3796296296296" style="136" customWidth="1"/>
    <col min="2570" max="2816" width="9" style="136"/>
    <col min="2817" max="2817" width="11" style="136" customWidth="1"/>
    <col min="2818" max="2818" width="12" style="136" customWidth="1"/>
    <col min="2819" max="2819" width="6" style="136" customWidth="1"/>
    <col min="2820" max="2820" width="15.3796296296296" style="136" customWidth="1"/>
    <col min="2821" max="2821" width="0.75" style="136" customWidth="1"/>
    <col min="2822" max="2822" width="11" style="136" customWidth="1"/>
    <col min="2823" max="2823" width="12" style="136" customWidth="1"/>
    <col min="2824" max="2824" width="6" style="136" customWidth="1"/>
    <col min="2825" max="2825" width="15.3796296296296" style="136" customWidth="1"/>
    <col min="2826" max="3072" width="9" style="136"/>
    <col min="3073" max="3073" width="11" style="136" customWidth="1"/>
    <col min="3074" max="3074" width="12" style="136" customWidth="1"/>
    <col min="3075" max="3075" width="6" style="136" customWidth="1"/>
    <col min="3076" max="3076" width="15.3796296296296" style="136" customWidth="1"/>
    <col min="3077" max="3077" width="0.75" style="136" customWidth="1"/>
    <col min="3078" max="3078" width="11" style="136" customWidth="1"/>
    <col min="3079" max="3079" width="12" style="136" customWidth="1"/>
    <col min="3080" max="3080" width="6" style="136" customWidth="1"/>
    <col min="3081" max="3081" width="15.3796296296296" style="136" customWidth="1"/>
    <col min="3082" max="3328" width="9" style="136"/>
    <col min="3329" max="3329" width="11" style="136" customWidth="1"/>
    <col min="3330" max="3330" width="12" style="136" customWidth="1"/>
    <col min="3331" max="3331" width="6" style="136" customWidth="1"/>
    <col min="3332" max="3332" width="15.3796296296296" style="136" customWidth="1"/>
    <col min="3333" max="3333" width="0.75" style="136" customWidth="1"/>
    <col min="3334" max="3334" width="11" style="136" customWidth="1"/>
    <col min="3335" max="3335" width="12" style="136" customWidth="1"/>
    <col min="3336" max="3336" width="6" style="136" customWidth="1"/>
    <col min="3337" max="3337" width="15.3796296296296" style="136" customWidth="1"/>
    <col min="3338" max="3584" width="9" style="136"/>
    <col min="3585" max="3585" width="11" style="136" customWidth="1"/>
    <col min="3586" max="3586" width="12" style="136" customWidth="1"/>
    <col min="3587" max="3587" width="6" style="136" customWidth="1"/>
    <col min="3588" max="3588" width="15.3796296296296" style="136" customWidth="1"/>
    <col min="3589" max="3589" width="0.75" style="136" customWidth="1"/>
    <col min="3590" max="3590" width="11" style="136" customWidth="1"/>
    <col min="3591" max="3591" width="12" style="136" customWidth="1"/>
    <col min="3592" max="3592" width="6" style="136" customWidth="1"/>
    <col min="3593" max="3593" width="15.3796296296296" style="136" customWidth="1"/>
    <col min="3594" max="3840" width="9" style="136"/>
    <col min="3841" max="3841" width="11" style="136" customWidth="1"/>
    <col min="3842" max="3842" width="12" style="136" customWidth="1"/>
    <col min="3843" max="3843" width="6" style="136" customWidth="1"/>
    <col min="3844" max="3844" width="15.3796296296296" style="136" customWidth="1"/>
    <col min="3845" max="3845" width="0.75" style="136" customWidth="1"/>
    <col min="3846" max="3846" width="11" style="136" customWidth="1"/>
    <col min="3847" max="3847" width="12" style="136" customWidth="1"/>
    <col min="3848" max="3848" width="6" style="136" customWidth="1"/>
    <col min="3849" max="3849" width="15.3796296296296" style="136" customWidth="1"/>
    <col min="3850" max="4096" width="9" style="136"/>
    <col min="4097" max="4097" width="11" style="136" customWidth="1"/>
    <col min="4098" max="4098" width="12" style="136" customWidth="1"/>
    <col min="4099" max="4099" width="6" style="136" customWidth="1"/>
    <col min="4100" max="4100" width="15.3796296296296" style="136" customWidth="1"/>
    <col min="4101" max="4101" width="0.75" style="136" customWidth="1"/>
    <col min="4102" max="4102" width="11" style="136" customWidth="1"/>
    <col min="4103" max="4103" width="12" style="136" customWidth="1"/>
    <col min="4104" max="4104" width="6" style="136" customWidth="1"/>
    <col min="4105" max="4105" width="15.3796296296296" style="136" customWidth="1"/>
    <col min="4106" max="4352" width="9" style="136"/>
    <col min="4353" max="4353" width="11" style="136" customWidth="1"/>
    <col min="4354" max="4354" width="12" style="136" customWidth="1"/>
    <col min="4355" max="4355" width="6" style="136" customWidth="1"/>
    <col min="4356" max="4356" width="15.3796296296296" style="136" customWidth="1"/>
    <col min="4357" max="4357" width="0.75" style="136" customWidth="1"/>
    <col min="4358" max="4358" width="11" style="136" customWidth="1"/>
    <col min="4359" max="4359" width="12" style="136" customWidth="1"/>
    <col min="4360" max="4360" width="6" style="136" customWidth="1"/>
    <col min="4361" max="4361" width="15.3796296296296" style="136" customWidth="1"/>
    <col min="4362" max="4608" width="9" style="136"/>
    <col min="4609" max="4609" width="11" style="136" customWidth="1"/>
    <col min="4610" max="4610" width="12" style="136" customWidth="1"/>
    <col min="4611" max="4611" width="6" style="136" customWidth="1"/>
    <col min="4612" max="4612" width="15.3796296296296" style="136" customWidth="1"/>
    <col min="4613" max="4613" width="0.75" style="136" customWidth="1"/>
    <col min="4614" max="4614" width="11" style="136" customWidth="1"/>
    <col min="4615" max="4615" width="12" style="136" customWidth="1"/>
    <col min="4616" max="4616" width="6" style="136" customWidth="1"/>
    <col min="4617" max="4617" width="15.3796296296296" style="136" customWidth="1"/>
    <col min="4618" max="4864" width="9" style="136"/>
    <col min="4865" max="4865" width="11" style="136" customWidth="1"/>
    <col min="4866" max="4866" width="12" style="136" customWidth="1"/>
    <col min="4867" max="4867" width="6" style="136" customWidth="1"/>
    <col min="4868" max="4868" width="15.3796296296296" style="136" customWidth="1"/>
    <col min="4869" max="4869" width="0.75" style="136" customWidth="1"/>
    <col min="4870" max="4870" width="11" style="136" customWidth="1"/>
    <col min="4871" max="4871" width="12" style="136" customWidth="1"/>
    <col min="4872" max="4872" width="6" style="136" customWidth="1"/>
    <col min="4873" max="4873" width="15.3796296296296" style="136" customWidth="1"/>
    <col min="4874" max="5120" width="9" style="136"/>
    <col min="5121" max="5121" width="11" style="136" customWidth="1"/>
    <col min="5122" max="5122" width="12" style="136" customWidth="1"/>
    <col min="5123" max="5123" width="6" style="136" customWidth="1"/>
    <col min="5124" max="5124" width="15.3796296296296" style="136" customWidth="1"/>
    <col min="5125" max="5125" width="0.75" style="136" customWidth="1"/>
    <col min="5126" max="5126" width="11" style="136" customWidth="1"/>
    <col min="5127" max="5127" width="12" style="136" customWidth="1"/>
    <col min="5128" max="5128" width="6" style="136" customWidth="1"/>
    <col min="5129" max="5129" width="15.3796296296296" style="136" customWidth="1"/>
    <col min="5130" max="5376" width="9" style="136"/>
    <col min="5377" max="5377" width="11" style="136" customWidth="1"/>
    <col min="5378" max="5378" width="12" style="136" customWidth="1"/>
    <col min="5379" max="5379" width="6" style="136" customWidth="1"/>
    <col min="5380" max="5380" width="15.3796296296296" style="136" customWidth="1"/>
    <col min="5381" max="5381" width="0.75" style="136" customWidth="1"/>
    <col min="5382" max="5382" width="11" style="136" customWidth="1"/>
    <col min="5383" max="5383" width="12" style="136" customWidth="1"/>
    <col min="5384" max="5384" width="6" style="136" customWidth="1"/>
    <col min="5385" max="5385" width="15.3796296296296" style="136" customWidth="1"/>
    <col min="5386" max="5632" width="9" style="136"/>
    <col min="5633" max="5633" width="11" style="136" customWidth="1"/>
    <col min="5634" max="5634" width="12" style="136" customWidth="1"/>
    <col min="5635" max="5635" width="6" style="136" customWidth="1"/>
    <col min="5636" max="5636" width="15.3796296296296" style="136" customWidth="1"/>
    <col min="5637" max="5637" width="0.75" style="136" customWidth="1"/>
    <col min="5638" max="5638" width="11" style="136" customWidth="1"/>
    <col min="5639" max="5639" width="12" style="136" customWidth="1"/>
    <col min="5640" max="5640" width="6" style="136" customWidth="1"/>
    <col min="5641" max="5641" width="15.3796296296296" style="136" customWidth="1"/>
    <col min="5642" max="5888" width="9" style="136"/>
    <col min="5889" max="5889" width="11" style="136" customWidth="1"/>
    <col min="5890" max="5890" width="12" style="136" customWidth="1"/>
    <col min="5891" max="5891" width="6" style="136" customWidth="1"/>
    <col min="5892" max="5892" width="15.3796296296296" style="136" customWidth="1"/>
    <col min="5893" max="5893" width="0.75" style="136" customWidth="1"/>
    <col min="5894" max="5894" width="11" style="136" customWidth="1"/>
    <col min="5895" max="5895" width="12" style="136" customWidth="1"/>
    <col min="5896" max="5896" width="6" style="136" customWidth="1"/>
    <col min="5897" max="5897" width="15.3796296296296" style="136" customWidth="1"/>
    <col min="5898" max="6144" width="9" style="136"/>
    <col min="6145" max="6145" width="11" style="136" customWidth="1"/>
    <col min="6146" max="6146" width="12" style="136" customWidth="1"/>
    <col min="6147" max="6147" width="6" style="136" customWidth="1"/>
    <col min="6148" max="6148" width="15.3796296296296" style="136" customWidth="1"/>
    <col min="6149" max="6149" width="0.75" style="136" customWidth="1"/>
    <col min="6150" max="6150" width="11" style="136" customWidth="1"/>
    <col min="6151" max="6151" width="12" style="136" customWidth="1"/>
    <col min="6152" max="6152" width="6" style="136" customWidth="1"/>
    <col min="6153" max="6153" width="15.3796296296296" style="136" customWidth="1"/>
    <col min="6154" max="6400" width="9" style="136"/>
    <col min="6401" max="6401" width="11" style="136" customWidth="1"/>
    <col min="6402" max="6402" width="12" style="136" customWidth="1"/>
    <col min="6403" max="6403" width="6" style="136" customWidth="1"/>
    <col min="6404" max="6404" width="15.3796296296296" style="136" customWidth="1"/>
    <col min="6405" max="6405" width="0.75" style="136" customWidth="1"/>
    <col min="6406" max="6406" width="11" style="136" customWidth="1"/>
    <col min="6407" max="6407" width="12" style="136" customWidth="1"/>
    <col min="6408" max="6408" width="6" style="136" customWidth="1"/>
    <col min="6409" max="6409" width="15.3796296296296" style="136" customWidth="1"/>
    <col min="6410" max="6656" width="9" style="136"/>
    <col min="6657" max="6657" width="11" style="136" customWidth="1"/>
    <col min="6658" max="6658" width="12" style="136" customWidth="1"/>
    <col min="6659" max="6659" width="6" style="136" customWidth="1"/>
    <col min="6660" max="6660" width="15.3796296296296" style="136" customWidth="1"/>
    <col min="6661" max="6661" width="0.75" style="136" customWidth="1"/>
    <col min="6662" max="6662" width="11" style="136" customWidth="1"/>
    <col min="6663" max="6663" width="12" style="136" customWidth="1"/>
    <col min="6664" max="6664" width="6" style="136" customWidth="1"/>
    <col min="6665" max="6665" width="15.3796296296296" style="136" customWidth="1"/>
    <col min="6666" max="6912" width="9" style="136"/>
    <col min="6913" max="6913" width="11" style="136" customWidth="1"/>
    <col min="6914" max="6914" width="12" style="136" customWidth="1"/>
    <col min="6915" max="6915" width="6" style="136" customWidth="1"/>
    <col min="6916" max="6916" width="15.3796296296296" style="136" customWidth="1"/>
    <col min="6917" max="6917" width="0.75" style="136" customWidth="1"/>
    <col min="6918" max="6918" width="11" style="136" customWidth="1"/>
    <col min="6919" max="6919" width="12" style="136" customWidth="1"/>
    <col min="6920" max="6920" width="6" style="136" customWidth="1"/>
    <col min="6921" max="6921" width="15.3796296296296" style="136" customWidth="1"/>
    <col min="6922" max="7168" width="9" style="136"/>
    <col min="7169" max="7169" width="11" style="136" customWidth="1"/>
    <col min="7170" max="7170" width="12" style="136" customWidth="1"/>
    <col min="7171" max="7171" width="6" style="136" customWidth="1"/>
    <col min="7172" max="7172" width="15.3796296296296" style="136" customWidth="1"/>
    <col min="7173" max="7173" width="0.75" style="136" customWidth="1"/>
    <col min="7174" max="7174" width="11" style="136" customWidth="1"/>
    <col min="7175" max="7175" width="12" style="136" customWidth="1"/>
    <col min="7176" max="7176" width="6" style="136" customWidth="1"/>
    <col min="7177" max="7177" width="15.3796296296296" style="136" customWidth="1"/>
    <col min="7178" max="7424" width="9" style="136"/>
    <col min="7425" max="7425" width="11" style="136" customWidth="1"/>
    <col min="7426" max="7426" width="12" style="136" customWidth="1"/>
    <col min="7427" max="7427" width="6" style="136" customWidth="1"/>
    <col min="7428" max="7428" width="15.3796296296296" style="136" customWidth="1"/>
    <col min="7429" max="7429" width="0.75" style="136" customWidth="1"/>
    <col min="7430" max="7430" width="11" style="136" customWidth="1"/>
    <col min="7431" max="7431" width="12" style="136" customWidth="1"/>
    <col min="7432" max="7432" width="6" style="136" customWidth="1"/>
    <col min="7433" max="7433" width="15.3796296296296" style="136" customWidth="1"/>
    <col min="7434" max="7680" width="9" style="136"/>
    <col min="7681" max="7681" width="11" style="136" customWidth="1"/>
    <col min="7682" max="7682" width="12" style="136" customWidth="1"/>
    <col min="7683" max="7683" width="6" style="136" customWidth="1"/>
    <col min="7684" max="7684" width="15.3796296296296" style="136" customWidth="1"/>
    <col min="7685" max="7685" width="0.75" style="136" customWidth="1"/>
    <col min="7686" max="7686" width="11" style="136" customWidth="1"/>
    <col min="7687" max="7687" width="12" style="136" customWidth="1"/>
    <col min="7688" max="7688" width="6" style="136" customWidth="1"/>
    <col min="7689" max="7689" width="15.3796296296296" style="136" customWidth="1"/>
    <col min="7690" max="7936" width="9" style="136"/>
    <col min="7937" max="7937" width="11" style="136" customWidth="1"/>
    <col min="7938" max="7938" width="12" style="136" customWidth="1"/>
    <col min="7939" max="7939" width="6" style="136" customWidth="1"/>
    <col min="7940" max="7940" width="15.3796296296296" style="136" customWidth="1"/>
    <col min="7941" max="7941" width="0.75" style="136" customWidth="1"/>
    <col min="7942" max="7942" width="11" style="136" customWidth="1"/>
    <col min="7943" max="7943" width="12" style="136" customWidth="1"/>
    <col min="7944" max="7944" width="6" style="136" customWidth="1"/>
    <col min="7945" max="7945" width="15.3796296296296" style="136" customWidth="1"/>
    <col min="7946" max="8192" width="9" style="136"/>
    <col min="8193" max="8193" width="11" style="136" customWidth="1"/>
    <col min="8194" max="8194" width="12" style="136" customWidth="1"/>
    <col min="8195" max="8195" width="6" style="136" customWidth="1"/>
    <col min="8196" max="8196" width="15.3796296296296" style="136" customWidth="1"/>
    <col min="8197" max="8197" width="0.75" style="136" customWidth="1"/>
    <col min="8198" max="8198" width="11" style="136" customWidth="1"/>
    <col min="8199" max="8199" width="12" style="136" customWidth="1"/>
    <col min="8200" max="8200" width="6" style="136" customWidth="1"/>
    <col min="8201" max="8201" width="15.3796296296296" style="136" customWidth="1"/>
    <col min="8202" max="8448" width="9" style="136"/>
    <col min="8449" max="8449" width="11" style="136" customWidth="1"/>
    <col min="8450" max="8450" width="12" style="136" customWidth="1"/>
    <col min="8451" max="8451" width="6" style="136" customWidth="1"/>
    <col min="8452" max="8452" width="15.3796296296296" style="136" customWidth="1"/>
    <col min="8453" max="8453" width="0.75" style="136" customWidth="1"/>
    <col min="8454" max="8454" width="11" style="136" customWidth="1"/>
    <col min="8455" max="8455" width="12" style="136" customWidth="1"/>
    <col min="8456" max="8456" width="6" style="136" customWidth="1"/>
    <col min="8457" max="8457" width="15.3796296296296" style="136" customWidth="1"/>
    <col min="8458" max="8704" width="9" style="136"/>
    <col min="8705" max="8705" width="11" style="136" customWidth="1"/>
    <col min="8706" max="8706" width="12" style="136" customWidth="1"/>
    <col min="8707" max="8707" width="6" style="136" customWidth="1"/>
    <col min="8708" max="8708" width="15.3796296296296" style="136" customWidth="1"/>
    <col min="8709" max="8709" width="0.75" style="136" customWidth="1"/>
    <col min="8710" max="8710" width="11" style="136" customWidth="1"/>
    <col min="8711" max="8711" width="12" style="136" customWidth="1"/>
    <col min="8712" max="8712" width="6" style="136" customWidth="1"/>
    <col min="8713" max="8713" width="15.3796296296296" style="136" customWidth="1"/>
    <col min="8714" max="8960" width="9" style="136"/>
    <col min="8961" max="8961" width="11" style="136" customWidth="1"/>
    <col min="8962" max="8962" width="12" style="136" customWidth="1"/>
    <col min="8963" max="8963" width="6" style="136" customWidth="1"/>
    <col min="8964" max="8964" width="15.3796296296296" style="136" customWidth="1"/>
    <col min="8965" max="8965" width="0.75" style="136" customWidth="1"/>
    <col min="8966" max="8966" width="11" style="136" customWidth="1"/>
    <col min="8967" max="8967" width="12" style="136" customWidth="1"/>
    <col min="8968" max="8968" width="6" style="136" customWidth="1"/>
    <col min="8969" max="8969" width="15.3796296296296" style="136" customWidth="1"/>
    <col min="8970" max="9216" width="9" style="136"/>
    <col min="9217" max="9217" width="11" style="136" customWidth="1"/>
    <col min="9218" max="9218" width="12" style="136" customWidth="1"/>
    <col min="9219" max="9219" width="6" style="136" customWidth="1"/>
    <col min="9220" max="9220" width="15.3796296296296" style="136" customWidth="1"/>
    <col min="9221" max="9221" width="0.75" style="136" customWidth="1"/>
    <col min="9222" max="9222" width="11" style="136" customWidth="1"/>
    <col min="9223" max="9223" width="12" style="136" customWidth="1"/>
    <col min="9224" max="9224" width="6" style="136" customWidth="1"/>
    <col min="9225" max="9225" width="15.3796296296296" style="136" customWidth="1"/>
    <col min="9226" max="9472" width="9" style="136"/>
    <col min="9473" max="9473" width="11" style="136" customWidth="1"/>
    <col min="9474" max="9474" width="12" style="136" customWidth="1"/>
    <col min="9475" max="9475" width="6" style="136" customWidth="1"/>
    <col min="9476" max="9476" width="15.3796296296296" style="136" customWidth="1"/>
    <col min="9477" max="9477" width="0.75" style="136" customWidth="1"/>
    <col min="9478" max="9478" width="11" style="136" customWidth="1"/>
    <col min="9479" max="9479" width="12" style="136" customWidth="1"/>
    <col min="9480" max="9480" width="6" style="136" customWidth="1"/>
    <col min="9481" max="9481" width="15.3796296296296" style="136" customWidth="1"/>
    <col min="9482" max="9728" width="9" style="136"/>
    <col min="9729" max="9729" width="11" style="136" customWidth="1"/>
    <col min="9730" max="9730" width="12" style="136" customWidth="1"/>
    <col min="9731" max="9731" width="6" style="136" customWidth="1"/>
    <col min="9732" max="9732" width="15.3796296296296" style="136" customWidth="1"/>
    <col min="9733" max="9733" width="0.75" style="136" customWidth="1"/>
    <col min="9734" max="9734" width="11" style="136" customWidth="1"/>
    <col min="9735" max="9735" width="12" style="136" customWidth="1"/>
    <col min="9736" max="9736" width="6" style="136" customWidth="1"/>
    <col min="9737" max="9737" width="15.3796296296296" style="136" customWidth="1"/>
    <col min="9738" max="9984" width="9" style="136"/>
    <col min="9985" max="9985" width="11" style="136" customWidth="1"/>
    <col min="9986" max="9986" width="12" style="136" customWidth="1"/>
    <col min="9987" max="9987" width="6" style="136" customWidth="1"/>
    <col min="9988" max="9988" width="15.3796296296296" style="136" customWidth="1"/>
    <col min="9989" max="9989" width="0.75" style="136" customWidth="1"/>
    <col min="9990" max="9990" width="11" style="136" customWidth="1"/>
    <col min="9991" max="9991" width="12" style="136" customWidth="1"/>
    <col min="9992" max="9992" width="6" style="136" customWidth="1"/>
    <col min="9993" max="9993" width="15.3796296296296" style="136" customWidth="1"/>
    <col min="9994" max="10240" width="9" style="136"/>
    <col min="10241" max="10241" width="11" style="136" customWidth="1"/>
    <col min="10242" max="10242" width="12" style="136" customWidth="1"/>
    <col min="10243" max="10243" width="6" style="136" customWidth="1"/>
    <col min="10244" max="10244" width="15.3796296296296" style="136" customWidth="1"/>
    <col min="10245" max="10245" width="0.75" style="136" customWidth="1"/>
    <col min="10246" max="10246" width="11" style="136" customWidth="1"/>
    <col min="10247" max="10247" width="12" style="136" customWidth="1"/>
    <col min="10248" max="10248" width="6" style="136" customWidth="1"/>
    <col min="10249" max="10249" width="15.3796296296296" style="136" customWidth="1"/>
    <col min="10250" max="10496" width="9" style="136"/>
    <col min="10497" max="10497" width="11" style="136" customWidth="1"/>
    <col min="10498" max="10498" width="12" style="136" customWidth="1"/>
    <col min="10499" max="10499" width="6" style="136" customWidth="1"/>
    <col min="10500" max="10500" width="15.3796296296296" style="136" customWidth="1"/>
    <col min="10501" max="10501" width="0.75" style="136" customWidth="1"/>
    <col min="10502" max="10502" width="11" style="136" customWidth="1"/>
    <col min="10503" max="10503" width="12" style="136" customWidth="1"/>
    <col min="10504" max="10504" width="6" style="136" customWidth="1"/>
    <col min="10505" max="10505" width="15.3796296296296" style="136" customWidth="1"/>
    <col min="10506" max="10752" width="9" style="136"/>
    <col min="10753" max="10753" width="11" style="136" customWidth="1"/>
    <col min="10754" max="10754" width="12" style="136" customWidth="1"/>
    <col min="10755" max="10755" width="6" style="136" customWidth="1"/>
    <col min="10756" max="10756" width="15.3796296296296" style="136" customWidth="1"/>
    <col min="10757" max="10757" width="0.75" style="136" customWidth="1"/>
    <col min="10758" max="10758" width="11" style="136" customWidth="1"/>
    <col min="10759" max="10759" width="12" style="136" customWidth="1"/>
    <col min="10760" max="10760" width="6" style="136" customWidth="1"/>
    <col min="10761" max="10761" width="15.3796296296296" style="136" customWidth="1"/>
    <col min="10762" max="11008" width="9" style="136"/>
    <col min="11009" max="11009" width="11" style="136" customWidth="1"/>
    <col min="11010" max="11010" width="12" style="136" customWidth="1"/>
    <col min="11011" max="11011" width="6" style="136" customWidth="1"/>
    <col min="11012" max="11012" width="15.3796296296296" style="136" customWidth="1"/>
    <col min="11013" max="11013" width="0.75" style="136" customWidth="1"/>
    <col min="11014" max="11014" width="11" style="136" customWidth="1"/>
    <col min="11015" max="11015" width="12" style="136" customWidth="1"/>
    <col min="11016" max="11016" width="6" style="136" customWidth="1"/>
    <col min="11017" max="11017" width="15.3796296296296" style="136" customWidth="1"/>
    <col min="11018" max="11264" width="9" style="136"/>
    <col min="11265" max="11265" width="11" style="136" customWidth="1"/>
    <col min="11266" max="11266" width="12" style="136" customWidth="1"/>
    <col min="11267" max="11267" width="6" style="136" customWidth="1"/>
    <col min="11268" max="11268" width="15.3796296296296" style="136" customWidth="1"/>
    <col min="11269" max="11269" width="0.75" style="136" customWidth="1"/>
    <col min="11270" max="11270" width="11" style="136" customWidth="1"/>
    <col min="11271" max="11271" width="12" style="136" customWidth="1"/>
    <col min="11272" max="11272" width="6" style="136" customWidth="1"/>
    <col min="11273" max="11273" width="15.3796296296296" style="136" customWidth="1"/>
    <col min="11274" max="11520" width="9" style="136"/>
    <col min="11521" max="11521" width="11" style="136" customWidth="1"/>
    <col min="11522" max="11522" width="12" style="136" customWidth="1"/>
    <col min="11523" max="11523" width="6" style="136" customWidth="1"/>
    <col min="11524" max="11524" width="15.3796296296296" style="136" customWidth="1"/>
    <col min="11525" max="11525" width="0.75" style="136" customWidth="1"/>
    <col min="11526" max="11526" width="11" style="136" customWidth="1"/>
    <col min="11527" max="11527" width="12" style="136" customWidth="1"/>
    <col min="11528" max="11528" width="6" style="136" customWidth="1"/>
    <col min="11529" max="11529" width="15.3796296296296" style="136" customWidth="1"/>
    <col min="11530" max="11776" width="9" style="136"/>
    <col min="11777" max="11777" width="11" style="136" customWidth="1"/>
    <col min="11778" max="11778" width="12" style="136" customWidth="1"/>
    <col min="11779" max="11779" width="6" style="136" customWidth="1"/>
    <col min="11780" max="11780" width="15.3796296296296" style="136" customWidth="1"/>
    <col min="11781" max="11781" width="0.75" style="136" customWidth="1"/>
    <col min="11782" max="11782" width="11" style="136" customWidth="1"/>
    <col min="11783" max="11783" width="12" style="136" customWidth="1"/>
    <col min="11784" max="11784" width="6" style="136" customWidth="1"/>
    <col min="11785" max="11785" width="15.3796296296296" style="136" customWidth="1"/>
    <col min="11786" max="12032" width="9" style="136"/>
    <col min="12033" max="12033" width="11" style="136" customWidth="1"/>
    <col min="12034" max="12034" width="12" style="136" customWidth="1"/>
    <col min="12035" max="12035" width="6" style="136" customWidth="1"/>
    <col min="12036" max="12036" width="15.3796296296296" style="136" customWidth="1"/>
    <col min="12037" max="12037" width="0.75" style="136" customWidth="1"/>
    <col min="12038" max="12038" width="11" style="136" customWidth="1"/>
    <col min="12039" max="12039" width="12" style="136" customWidth="1"/>
    <col min="12040" max="12040" width="6" style="136" customWidth="1"/>
    <col min="12041" max="12041" width="15.3796296296296" style="136" customWidth="1"/>
    <col min="12042" max="12288" width="9" style="136"/>
    <col min="12289" max="12289" width="11" style="136" customWidth="1"/>
    <col min="12290" max="12290" width="12" style="136" customWidth="1"/>
    <col min="12291" max="12291" width="6" style="136" customWidth="1"/>
    <col min="12292" max="12292" width="15.3796296296296" style="136" customWidth="1"/>
    <col min="12293" max="12293" width="0.75" style="136" customWidth="1"/>
    <col min="12294" max="12294" width="11" style="136" customWidth="1"/>
    <col min="12295" max="12295" width="12" style="136" customWidth="1"/>
    <col min="12296" max="12296" width="6" style="136" customWidth="1"/>
    <col min="12297" max="12297" width="15.3796296296296" style="136" customWidth="1"/>
    <col min="12298" max="12544" width="9" style="136"/>
    <col min="12545" max="12545" width="11" style="136" customWidth="1"/>
    <col min="12546" max="12546" width="12" style="136" customWidth="1"/>
    <col min="12547" max="12547" width="6" style="136" customWidth="1"/>
    <col min="12548" max="12548" width="15.3796296296296" style="136" customWidth="1"/>
    <col min="12549" max="12549" width="0.75" style="136" customWidth="1"/>
    <col min="12550" max="12550" width="11" style="136" customWidth="1"/>
    <col min="12551" max="12551" width="12" style="136" customWidth="1"/>
    <col min="12552" max="12552" width="6" style="136" customWidth="1"/>
    <col min="12553" max="12553" width="15.3796296296296" style="136" customWidth="1"/>
    <col min="12554" max="12800" width="9" style="136"/>
    <col min="12801" max="12801" width="11" style="136" customWidth="1"/>
    <col min="12802" max="12802" width="12" style="136" customWidth="1"/>
    <col min="12803" max="12803" width="6" style="136" customWidth="1"/>
    <col min="12804" max="12804" width="15.3796296296296" style="136" customWidth="1"/>
    <col min="12805" max="12805" width="0.75" style="136" customWidth="1"/>
    <col min="12806" max="12806" width="11" style="136" customWidth="1"/>
    <col min="12807" max="12807" width="12" style="136" customWidth="1"/>
    <col min="12808" max="12808" width="6" style="136" customWidth="1"/>
    <col min="12809" max="12809" width="15.3796296296296" style="136" customWidth="1"/>
    <col min="12810" max="13056" width="9" style="136"/>
    <col min="13057" max="13057" width="11" style="136" customWidth="1"/>
    <col min="13058" max="13058" width="12" style="136" customWidth="1"/>
    <col min="13059" max="13059" width="6" style="136" customWidth="1"/>
    <col min="13060" max="13060" width="15.3796296296296" style="136" customWidth="1"/>
    <col min="13061" max="13061" width="0.75" style="136" customWidth="1"/>
    <col min="13062" max="13062" width="11" style="136" customWidth="1"/>
    <col min="13063" max="13063" width="12" style="136" customWidth="1"/>
    <col min="13064" max="13064" width="6" style="136" customWidth="1"/>
    <col min="13065" max="13065" width="15.3796296296296" style="136" customWidth="1"/>
    <col min="13066" max="13312" width="9" style="136"/>
    <col min="13313" max="13313" width="11" style="136" customWidth="1"/>
    <col min="13314" max="13314" width="12" style="136" customWidth="1"/>
    <col min="13315" max="13315" width="6" style="136" customWidth="1"/>
    <col min="13316" max="13316" width="15.3796296296296" style="136" customWidth="1"/>
    <col min="13317" max="13317" width="0.75" style="136" customWidth="1"/>
    <col min="13318" max="13318" width="11" style="136" customWidth="1"/>
    <col min="13319" max="13319" width="12" style="136" customWidth="1"/>
    <col min="13320" max="13320" width="6" style="136" customWidth="1"/>
    <col min="13321" max="13321" width="15.3796296296296" style="136" customWidth="1"/>
    <col min="13322" max="13568" width="9" style="136"/>
    <col min="13569" max="13569" width="11" style="136" customWidth="1"/>
    <col min="13570" max="13570" width="12" style="136" customWidth="1"/>
    <col min="13571" max="13571" width="6" style="136" customWidth="1"/>
    <col min="13572" max="13572" width="15.3796296296296" style="136" customWidth="1"/>
    <col min="13573" max="13573" width="0.75" style="136" customWidth="1"/>
    <col min="13574" max="13574" width="11" style="136" customWidth="1"/>
    <col min="13575" max="13575" width="12" style="136" customWidth="1"/>
    <col min="13576" max="13576" width="6" style="136" customWidth="1"/>
    <col min="13577" max="13577" width="15.3796296296296" style="136" customWidth="1"/>
    <col min="13578" max="13824" width="9" style="136"/>
    <col min="13825" max="13825" width="11" style="136" customWidth="1"/>
    <col min="13826" max="13826" width="12" style="136" customWidth="1"/>
    <col min="13827" max="13827" width="6" style="136" customWidth="1"/>
    <col min="13828" max="13828" width="15.3796296296296" style="136" customWidth="1"/>
    <col min="13829" max="13829" width="0.75" style="136" customWidth="1"/>
    <col min="13830" max="13830" width="11" style="136" customWidth="1"/>
    <col min="13831" max="13831" width="12" style="136" customWidth="1"/>
    <col min="13832" max="13832" width="6" style="136" customWidth="1"/>
    <col min="13833" max="13833" width="15.3796296296296" style="136" customWidth="1"/>
    <col min="13834" max="14080" width="9" style="136"/>
    <col min="14081" max="14081" width="11" style="136" customWidth="1"/>
    <col min="14082" max="14082" width="12" style="136" customWidth="1"/>
    <col min="14083" max="14083" width="6" style="136" customWidth="1"/>
    <col min="14084" max="14084" width="15.3796296296296" style="136" customWidth="1"/>
    <col min="14085" max="14085" width="0.75" style="136" customWidth="1"/>
    <col min="14086" max="14086" width="11" style="136" customWidth="1"/>
    <col min="14087" max="14087" width="12" style="136" customWidth="1"/>
    <col min="14088" max="14088" width="6" style="136" customWidth="1"/>
    <col min="14089" max="14089" width="15.3796296296296" style="136" customWidth="1"/>
    <col min="14090" max="14336" width="9" style="136"/>
    <col min="14337" max="14337" width="11" style="136" customWidth="1"/>
    <col min="14338" max="14338" width="12" style="136" customWidth="1"/>
    <col min="14339" max="14339" width="6" style="136" customWidth="1"/>
    <col min="14340" max="14340" width="15.3796296296296" style="136" customWidth="1"/>
    <col min="14341" max="14341" width="0.75" style="136" customWidth="1"/>
    <col min="14342" max="14342" width="11" style="136" customWidth="1"/>
    <col min="14343" max="14343" width="12" style="136" customWidth="1"/>
    <col min="14344" max="14344" width="6" style="136" customWidth="1"/>
    <col min="14345" max="14345" width="15.3796296296296" style="136" customWidth="1"/>
    <col min="14346" max="14592" width="9" style="136"/>
    <col min="14593" max="14593" width="11" style="136" customWidth="1"/>
    <col min="14594" max="14594" width="12" style="136" customWidth="1"/>
    <col min="14595" max="14595" width="6" style="136" customWidth="1"/>
    <col min="14596" max="14596" width="15.3796296296296" style="136" customWidth="1"/>
    <col min="14597" max="14597" width="0.75" style="136" customWidth="1"/>
    <col min="14598" max="14598" width="11" style="136" customWidth="1"/>
    <col min="14599" max="14599" width="12" style="136" customWidth="1"/>
    <col min="14600" max="14600" width="6" style="136" customWidth="1"/>
    <col min="14601" max="14601" width="15.3796296296296" style="136" customWidth="1"/>
    <col min="14602" max="14848" width="9" style="136"/>
    <col min="14849" max="14849" width="11" style="136" customWidth="1"/>
    <col min="14850" max="14850" width="12" style="136" customWidth="1"/>
    <col min="14851" max="14851" width="6" style="136" customWidth="1"/>
    <col min="14852" max="14852" width="15.3796296296296" style="136" customWidth="1"/>
    <col min="14853" max="14853" width="0.75" style="136" customWidth="1"/>
    <col min="14854" max="14854" width="11" style="136" customWidth="1"/>
    <col min="14855" max="14855" width="12" style="136" customWidth="1"/>
    <col min="14856" max="14856" width="6" style="136" customWidth="1"/>
    <col min="14857" max="14857" width="15.3796296296296" style="136" customWidth="1"/>
    <col min="14858" max="15104" width="9" style="136"/>
    <col min="15105" max="15105" width="11" style="136" customWidth="1"/>
    <col min="15106" max="15106" width="12" style="136" customWidth="1"/>
    <col min="15107" max="15107" width="6" style="136" customWidth="1"/>
    <col min="15108" max="15108" width="15.3796296296296" style="136" customWidth="1"/>
    <col min="15109" max="15109" width="0.75" style="136" customWidth="1"/>
    <col min="15110" max="15110" width="11" style="136" customWidth="1"/>
    <col min="15111" max="15111" width="12" style="136" customWidth="1"/>
    <col min="15112" max="15112" width="6" style="136" customWidth="1"/>
    <col min="15113" max="15113" width="15.3796296296296" style="136" customWidth="1"/>
    <col min="15114" max="15360" width="9" style="136"/>
    <col min="15361" max="15361" width="11" style="136" customWidth="1"/>
    <col min="15362" max="15362" width="12" style="136" customWidth="1"/>
    <col min="15363" max="15363" width="6" style="136" customWidth="1"/>
    <col min="15364" max="15364" width="15.3796296296296" style="136" customWidth="1"/>
    <col min="15365" max="15365" width="0.75" style="136" customWidth="1"/>
    <col min="15366" max="15366" width="11" style="136" customWidth="1"/>
    <col min="15367" max="15367" width="12" style="136" customWidth="1"/>
    <col min="15368" max="15368" width="6" style="136" customWidth="1"/>
    <col min="15369" max="15369" width="15.3796296296296" style="136" customWidth="1"/>
    <col min="15370" max="15616" width="9" style="136"/>
    <col min="15617" max="15617" width="11" style="136" customWidth="1"/>
    <col min="15618" max="15618" width="12" style="136" customWidth="1"/>
    <col min="15619" max="15619" width="6" style="136" customWidth="1"/>
    <col min="15620" max="15620" width="15.3796296296296" style="136" customWidth="1"/>
    <col min="15621" max="15621" width="0.75" style="136" customWidth="1"/>
    <col min="15622" max="15622" width="11" style="136" customWidth="1"/>
    <col min="15623" max="15623" width="12" style="136" customWidth="1"/>
    <col min="15624" max="15624" width="6" style="136" customWidth="1"/>
    <col min="15625" max="15625" width="15.3796296296296" style="136" customWidth="1"/>
    <col min="15626" max="15872" width="9" style="136"/>
    <col min="15873" max="15873" width="11" style="136" customWidth="1"/>
    <col min="15874" max="15874" width="12" style="136" customWidth="1"/>
    <col min="15875" max="15875" width="6" style="136" customWidth="1"/>
    <col min="15876" max="15876" width="15.3796296296296" style="136" customWidth="1"/>
    <col min="15877" max="15877" width="0.75" style="136" customWidth="1"/>
    <col min="15878" max="15878" width="11" style="136" customWidth="1"/>
    <col min="15879" max="15879" width="12" style="136" customWidth="1"/>
    <col min="15880" max="15880" width="6" style="136" customWidth="1"/>
    <col min="15881" max="15881" width="15.3796296296296" style="136" customWidth="1"/>
    <col min="15882" max="16128" width="9" style="136"/>
    <col min="16129" max="16129" width="11" style="136" customWidth="1"/>
    <col min="16130" max="16130" width="12" style="136" customWidth="1"/>
    <col min="16131" max="16131" width="6" style="136" customWidth="1"/>
    <col min="16132" max="16132" width="15.3796296296296" style="136" customWidth="1"/>
    <col min="16133" max="16133" width="0.75" style="136" customWidth="1"/>
    <col min="16134" max="16134" width="11" style="136" customWidth="1"/>
    <col min="16135" max="16135" width="12" style="136" customWidth="1"/>
    <col min="16136" max="16136" width="6" style="136" customWidth="1"/>
    <col min="16137" max="16137" width="15.3796296296296" style="136" customWidth="1"/>
    <col min="16138" max="16384" width="9" style="136"/>
  </cols>
  <sheetData>
    <row r="1" customHeight="1" spans="1:9">
      <c r="A1" s="137">
        <v>1</v>
      </c>
      <c r="B1" s="138" t="str">
        <f>_xlfn.XLOOKUP(A1,examTable!$A$2:$A$220,examTable!$E$2:$E$220)</f>
        <v>513 427-2560 : POLYMER MATERIALS (ฟ้า)</v>
      </c>
      <c r="C1" s="139" t="str">
        <f>_xlfn.XLOOKUP(A1,examTable!$A$2:$A$220,examTable!$F$2:$F$220)</f>
        <v>สุธินี เกิดเทพ</v>
      </c>
      <c r="D1" s="140" t="s">
        <v>814</v>
      </c>
      <c r="E1" s="140"/>
      <c r="F1" s="137">
        <v>2</v>
      </c>
      <c r="G1" s="138" t="str">
        <f>_xlfn.XLOOKUP(F1,examTable!$A$2:$A$220,examTable!$E$2:$E$220)</f>
        <v>523 201-165 : CHEMICAL AND MICROBIOLOGICAL SAFETY</v>
      </c>
      <c r="H1" s="139" t="str">
        <f>_xlfn.XLOOKUP(F1,examTable!$A$2:$A$220,examTable!$F$2:$F$220)</f>
        <v>สุชารัตน์ สนองเกียรติ</v>
      </c>
      <c r="I1" s="140" t="s">
        <v>814</v>
      </c>
    </row>
    <row r="2" customHeight="1" spans="1:9">
      <c r="A2" s="137">
        <v>3</v>
      </c>
      <c r="B2" s="138" t="str">
        <f>_xlfn.XLOOKUP(A2,examTable!$A$2:$A$220,examTable!$E$2:$E$220)</f>
        <v>515 104-165 : STATISTICS FOR COMPUTING / 515 201--165-59 กลุ่ม 3 (Lab)</v>
      </c>
      <c r="C2" s="139" t="str">
        <f>_xlfn.XLOOKUP(A2,examTable!$A$2:$A$220,examTable!$F$2:$F$220)</f>
        <v>ประหยัด แสงงาม</v>
      </c>
      <c r="D2" s="140" t="s">
        <v>814</v>
      </c>
      <c r="E2" s="140"/>
      <c r="F2" s="137">
        <v>4</v>
      </c>
      <c r="G2" s="138" t="str">
        <f>_xlfn.XLOOKUP(F2,examTable!$A$2:$A$220,examTable!$E$2:$E$220)</f>
        <v>511 100-165 : PRECALCULUS</v>
      </c>
      <c r="H2" s="139" t="str">
        <f>_xlfn.XLOOKUP(F2,examTable!$A$2:$A$220,examTable!$F$2:$F$220)</f>
        <v>ธรรมธาดา เขมะรัชตกำธร</v>
      </c>
      <c r="I2" s="140" t="s">
        <v>814</v>
      </c>
    </row>
    <row r="3" customHeight="1" spans="1:9">
      <c r="A3" s="137">
        <v>5</v>
      </c>
      <c r="B3" s="138" t="str">
        <f>_xlfn.XLOOKUP(A3,examTable!$A$2:$A$220,examTable!$E$2:$E$220)</f>
        <v>511 101-165 : CALCULUS I</v>
      </c>
      <c r="C3" s="139" t="str">
        <f>_xlfn.XLOOKUP(A3,examTable!$A$2:$A$220,examTable!$F$2:$F$220)</f>
        <v>ผกามาส พะวงษ์</v>
      </c>
      <c r="D3" s="140" t="s">
        <v>814</v>
      </c>
      <c r="E3" s="140"/>
      <c r="F3" s="137">
        <v>6</v>
      </c>
      <c r="G3" s="138" t="str">
        <f>_xlfn.XLOOKUP(F3,examTable!$A$2:$A$220,examTable!$E$2:$E$220)</f>
        <v>511 104-2560-165 : CALCULUS FOR ENGINEERS I</v>
      </c>
      <c r="H3" s="139" t="str">
        <f>_xlfn.XLOOKUP(F3,examTable!$A$2:$A$220,examTable!$F$2:$F$220)</f>
        <v>ธีระเดช ไหลสุพรรณวงศ์</v>
      </c>
      <c r="I3" s="140" t="s">
        <v>814</v>
      </c>
    </row>
    <row r="4" customHeight="1" spans="1:9">
      <c r="A4" s="137">
        <v>7</v>
      </c>
      <c r="B4" s="138" t="str">
        <f>_xlfn.XLOOKUP(A4,examTable!$A$2:$A$220,examTable!$E$2:$E$220)</f>
        <v>511 119-167 : CALCULUS FOR MATHEMATICS TEACHERS I</v>
      </c>
      <c r="C4" s="139" t="str">
        <f>_xlfn.XLOOKUP(A4,examTable!$A$2:$A$220,examTable!$F$2:$F$220)</f>
        <v>ผกามาส พะวงษ์</v>
      </c>
      <c r="D4" s="140" t="s">
        <v>814</v>
      </c>
      <c r="E4" s="140"/>
      <c r="F4" s="137">
        <v>8</v>
      </c>
      <c r="G4" s="138" t="str">
        <f>_xlfn.XLOOKUP(F4,examTable!$A$2:$A$220,examTable!$E$2:$E$220)</f>
        <v>512 101-2562 : GENERAL BIOLOGY I</v>
      </c>
      <c r="H4" s="139" t="str">
        <f>_xlfn.XLOOKUP(F4,examTable!$A$2:$A$220,examTable!$F$2:$F$220)</f>
        <v>กรกช ชั้นจิรกุล</v>
      </c>
      <c r="I4" s="140" t="s">
        <v>814</v>
      </c>
    </row>
    <row r="5" customHeight="1" spans="1:9">
      <c r="A5" s="137">
        <v>9</v>
      </c>
      <c r="B5" s="138" t="str">
        <f>_xlfn.XLOOKUP(A5,examTable!$A$2:$A$220,examTable!$E$2:$E$220)</f>
        <v>512 105-165 : FUNDAMENTAL BIOLOGY</v>
      </c>
      <c r="C5" s="139" t="str">
        <f>_xlfn.XLOOKUP(A5,examTable!$A$2:$A$220,examTable!$F$2:$F$220)</f>
        <v>สุธาทิพย์ อำนวยสิน</v>
      </c>
      <c r="D5" s="140" t="s">
        <v>814</v>
      </c>
      <c r="E5" s="140"/>
      <c r="F5" s="137">
        <v>10</v>
      </c>
      <c r="G5" s="138" t="str">
        <f>_xlfn.XLOOKUP(F5,examTable!$A$2:$A$220,examTable!$E$2:$E$220)</f>
        <v>512 333-2560-165 : ANIMAL PHYSIOLOGY</v>
      </c>
      <c r="H5" s="139" t="str">
        <f>_xlfn.XLOOKUP(F5,examTable!$A$2:$A$220,examTable!$F$2:$F$220)</f>
        <v>ชญาดา โชติศรีศุภรัตน์</v>
      </c>
      <c r="I5" s="140" t="s">
        <v>814</v>
      </c>
    </row>
    <row r="6" customHeight="1" spans="1:9">
      <c r="A6" s="137">
        <v>11</v>
      </c>
      <c r="B6" s="138" t="str">
        <f>_xlfn.XLOOKUP(A6,examTable!$A$2:$A$220,examTable!$E$2:$E$220)</f>
        <v>517 214-2561-165 : DATA STRUCTURE AND ALGORITHM (Lect)</v>
      </c>
      <c r="C6" s="139" t="str">
        <f>_xlfn.XLOOKUP(A6,examTable!$A$2:$A$220,examTable!$F$2:$F$220)</f>
        <v>วัสรา รอดเหตุภัย</v>
      </c>
      <c r="D6" s="140" t="s">
        <v>814</v>
      </c>
      <c r="E6" s="140"/>
      <c r="F6" s="137">
        <v>12</v>
      </c>
      <c r="G6" s="138" t="str">
        <f>_xlfn.XLOOKUP(F6,examTable!$A$2:$A$220,examTable!$E$2:$E$220)</f>
        <v>520 361-165 : SYSTEM ANALYSIS AND DESIGN อ.ปานใจ</v>
      </c>
      <c r="H6" s="139" t="str">
        <f>_xlfn.XLOOKUP(F6,examTable!$A$2:$A$220,examTable!$F$2:$F$220)</f>
        <v>ปานใจ ธารทัศนวงศ์</v>
      </c>
      <c r="I6" s="140" t="s">
        <v>814</v>
      </c>
    </row>
    <row r="7" customHeight="1" spans="1:9">
      <c r="A7" s="137">
        <v>13</v>
      </c>
      <c r="B7" s="138" t="str">
        <f>_xlfn.XLOOKUP(A7,examTable!$A$2:$A$220,examTable!$E$2:$E$220)</f>
        <v>520 361-2560-165 : SYSTEM ANALYSIS AND DESIGN อ.อรวรรณ</v>
      </c>
      <c r="C7" s="139" t="str">
        <f>_xlfn.XLOOKUP(A7,examTable!$A$2:$A$220,examTable!$F$2:$F$220)</f>
        <v>อรวรรณ เชาวลิต</v>
      </c>
      <c r="D7" s="140" t="s">
        <v>814</v>
      </c>
      <c r="E7" s="140"/>
      <c r="F7" s="137">
        <v>14</v>
      </c>
      <c r="G7" s="138" t="str">
        <f>_xlfn.XLOOKUP(F7,examTable!$A$2:$A$220,examTable!$E$2:$E$220)</f>
        <v>513 343-2560-165 : BIOCHEMISTRY LABORATORY</v>
      </c>
      <c r="H7" s="139" t="str">
        <f>_xlfn.XLOOKUP(F7,examTable!$A$2:$A$220,examTable!$F$2:$F$220)</f>
        <v>ชนากานต์ ทองสุข</v>
      </c>
      <c r="I7" s="140" t="s">
        <v>814</v>
      </c>
    </row>
    <row r="8" customHeight="1" spans="1:9">
      <c r="A8" s="137">
        <v>15</v>
      </c>
      <c r="B8" s="138" t="str">
        <f>_xlfn.XLOOKUP(A8,examTable!$A$2:$A$220,examTable!$E$2:$E$220)</f>
        <v>511 105-165 : CALCULUS FOR MATERIALS ENGINEERS</v>
      </c>
      <c r="C8" s="139" t="str">
        <f>_xlfn.XLOOKUP(A8,examTable!$A$2:$A$220,examTable!$F$2:$F$220)</f>
        <v>ธีระเดช ไหลสุพรรณวงศ์</v>
      </c>
      <c r="D8" s="140" t="s">
        <v>814</v>
      </c>
      <c r="E8" s="140"/>
      <c r="F8" s="137">
        <v>16</v>
      </c>
      <c r="G8" s="138" t="str">
        <f>_xlfn.XLOOKUP(F8,examTable!$A$2:$A$220,examTable!$E$2:$E$220)</f>
        <v>511 115-165 : CALCULUS FOR INDUSTRIAL ENGINEERS I</v>
      </c>
      <c r="H8" s="139" t="str">
        <f>_xlfn.XLOOKUP(F8,examTable!$A$2:$A$220,examTable!$F$2:$F$220)</f>
        <v>รัตนา ศรีทัศน์</v>
      </c>
      <c r="I8" s="140" t="s">
        <v>814</v>
      </c>
    </row>
    <row r="9" customHeight="1" spans="1:9">
      <c r="A9" s="137">
        <v>17</v>
      </c>
      <c r="B9" s="138" t="str">
        <f>_xlfn.XLOOKUP(A9,examTable!$A$2:$A$220,examTable!$E$2:$E$220)</f>
        <v>511 117-165 : ESSENTIAL MATHEMATICS FOR CHEMICAL ENGINEERS</v>
      </c>
      <c r="C9" s="139" t="str">
        <f>_xlfn.XLOOKUP(A9,examTable!$A$2:$A$220,examTable!$F$2:$F$220)</f>
        <v>รัตนา ศรีทัศน์</v>
      </c>
      <c r="D9" s="140" t="s">
        <v>814</v>
      </c>
      <c r="E9" s="140"/>
      <c r="F9" s="137">
        <v>18</v>
      </c>
      <c r="G9" s="138" t="str">
        <f>_xlfn.XLOOKUP(F9,examTable!$A$2:$A$220,examTable!$E$2:$E$220)</f>
        <v>511 482-2560 : SELECTED TOPICS IN MATHEMATICS II / 511 485-162 (ฟ้า)</v>
      </c>
      <c r="H9" s="139" t="str">
        <f>_xlfn.XLOOKUP(F9,examTable!$A$2:$A$220,examTable!$F$2:$F$220)</f>
        <v>ประพันธ์พงศ์ พงศ์ศรีเอี่ยม</v>
      </c>
      <c r="I9" s="140" t="s">
        <v>814</v>
      </c>
    </row>
    <row r="10" customHeight="1" spans="1:9">
      <c r="A10" s="137">
        <v>19</v>
      </c>
      <c r="B10" s="138" t="str">
        <f>_xlfn.XLOOKUP(A10,examTable!$A$2:$A$220,examTable!$E$2:$E$220)</f>
        <v>512 103-2562 : GENERAL BIOLOGY LABORATORY I</v>
      </c>
      <c r="C10" s="139" t="str">
        <f>_xlfn.XLOOKUP(A10,examTable!$A$2:$A$220,examTable!$F$2:$F$220)</f>
        <v>กรกช ชั้นจิรกุล</v>
      </c>
      <c r="D10" s="140" t="s">
        <v>814</v>
      </c>
      <c r="E10" s="140"/>
      <c r="F10" s="137">
        <v>20</v>
      </c>
      <c r="G10" s="138" t="str">
        <f>_xlfn.XLOOKUP(F10,examTable!$A$2:$A$220,examTable!$E$2:$E$220)</f>
        <v>513 250-2560-165 : ORGANIC CHEMISTRY</v>
      </c>
      <c r="H10" s="139" t="str">
        <f>_xlfn.XLOOKUP(F10,examTable!$A$2:$A$220,examTable!$F$2:$F$220)</f>
        <v>มูฮำหมัด นิยมเดชา</v>
      </c>
      <c r="I10" s="140" t="s">
        <v>814</v>
      </c>
    </row>
    <row r="11" customHeight="1" spans="1:9">
      <c r="A11" s="137">
        <v>21</v>
      </c>
      <c r="B11" s="138" t="str">
        <f>_xlfn.XLOOKUP(A11,examTable!$A$2:$A$220,examTable!$E$2:$E$220)</f>
        <v>513 257-2560-165 : FUNDAMENTAL ORGANIC CHEMISTRY</v>
      </c>
      <c r="C11" s="139" t="str">
        <f>_xlfn.XLOOKUP(A11,examTable!$A$2:$A$220,examTable!$F$2:$F$220)</f>
        <v>วยา พุทธวงศ์</v>
      </c>
      <c r="D11" s="140" t="s">
        <v>814</v>
      </c>
      <c r="E11" s="140"/>
      <c r="F11" s="137">
        <v>22</v>
      </c>
      <c r="G11" s="138" t="str">
        <f>_xlfn.XLOOKUP(F11,examTable!$A$2:$A$220,examTable!$E$2:$E$220)</f>
        <v>517 214-2561-165 : DATA STRUCTURE AND ALGORITHM (Lab)</v>
      </c>
      <c r="H11" s="139" t="str">
        <f>_xlfn.XLOOKUP(F11,examTable!$A$2:$A$220,examTable!$F$2:$F$220)</f>
        <v>วัสรา รอดเหตุภัย</v>
      </c>
      <c r="I11" s="140" t="s">
        <v>814</v>
      </c>
    </row>
    <row r="12" customHeight="1" spans="1:9">
      <c r="A12" s="137">
        <v>23</v>
      </c>
      <c r="B12" s="138" t="str">
        <f>_xlfn.XLOOKUP(A12,examTable!$A$2:$A$220,examTable!$E$2:$E$220)</f>
        <v>517 212-165 : DISCRETE COMPUTATIONAL STRUCTURES / 517 213-2560</v>
      </c>
      <c r="C12" s="139" t="str">
        <f>_xlfn.XLOOKUP(A12,examTable!$A$2:$A$220,examTable!$F$2:$F$220)</f>
        <v>คทา ประดิษฐวงศ์</v>
      </c>
      <c r="D12" s="140" t="s">
        <v>814</v>
      </c>
      <c r="E12" s="140"/>
      <c r="F12" s="137">
        <v>24</v>
      </c>
      <c r="G12" s="138" t="str">
        <f>_xlfn.XLOOKUP(F12,examTable!$A$2:$A$220,examTable!$E$2:$E$220)</f>
        <v>524 101-166 : NATURE OF SCIENCE (ฟ้า)</v>
      </c>
      <c r="H12" s="139" t="str">
        <f>_xlfn.XLOOKUP(F12,examTable!$A$2:$A$220,examTable!$F$2:$F$220)</f>
        <v>วิทวัส หาญดี</v>
      </c>
      <c r="I12" s="140" t="s">
        <v>814</v>
      </c>
    </row>
    <row r="13" customHeight="1" spans="1:9">
      <c r="A13" s="137">
        <v>25</v>
      </c>
      <c r="B13" s="138" t="str">
        <f>_xlfn.XLOOKUP(A13,examTable!$A$2:$A$220,examTable!$E$2:$E$220)</f>
        <v>512 415-2560 : PLANT TISSUE AND CELL CULTURE (ฟ้า)</v>
      </c>
      <c r="C13" s="139" t="str">
        <f>_xlfn.XLOOKUP(A13,examTable!$A$2:$A$220,examTable!$F$2:$F$220)</f>
        <v>กุลนาถ อบสุวรรณ</v>
      </c>
      <c r="D13" s="140" t="s">
        <v>814</v>
      </c>
      <c r="E13" s="140"/>
      <c r="F13" s="137">
        <v>26</v>
      </c>
      <c r="G13" s="138" t="str">
        <f>_xlfn.XLOOKUP(F13,examTable!$A$2:$A$220,examTable!$E$2:$E$220)</f>
        <v>513 291-165 : CHEMICAL SAFETY</v>
      </c>
      <c r="H13" s="139" t="str">
        <f>_xlfn.XLOOKUP(F13,examTable!$A$2:$A$220,examTable!$F$2:$F$220)</f>
        <v>กนกวรรณ เจริญกิจอมร</v>
      </c>
      <c r="I13" s="140" t="s">
        <v>814</v>
      </c>
    </row>
    <row r="14" customHeight="1" spans="1:9">
      <c r="A14" s="137">
        <v>27</v>
      </c>
      <c r="B14" s="138" t="str">
        <f>_xlfn.XLOOKUP(A14,examTable!$A$2:$A$220,examTable!$E$2:$E$220)</f>
        <v>513 435-2560-165 : CHEMICAL ANALYSIS OF WATER openbook</v>
      </c>
      <c r="C14" s="139" t="str">
        <f>_xlfn.XLOOKUP(A14,examTable!$A$2:$A$220,examTable!$F$2:$F$220)</f>
        <v>สุมนมาลย์ จันทร์เอี่ยม</v>
      </c>
      <c r="D14" s="140" t="s">
        <v>814</v>
      </c>
      <c r="E14" s="141"/>
      <c r="F14" s="137">
        <v>28</v>
      </c>
      <c r="G14" s="138" t="str">
        <f>_xlfn.XLOOKUP(F14,examTable!$A$2:$A$220,examTable!$E$2:$E$220)</f>
        <v>515 105-165 : STATISTICS FOR INFORMATION TECHNOLOGY / 515 201-59 กลุ่ม 2 (Lab)</v>
      </c>
      <c r="H14" s="139" t="str">
        <f>_xlfn.XLOOKUP(F14,examTable!$A$2:$A$220,examTable!$F$2:$F$220)</f>
        <v>ดุสิต ชัยประสิทธิกุล</v>
      </c>
      <c r="I14" s="140" t="s">
        <v>814</v>
      </c>
    </row>
    <row r="15" customHeight="1" spans="1:9">
      <c r="A15" s="137">
        <v>29</v>
      </c>
      <c r="B15" s="138" t="str">
        <f>_xlfn.XLOOKUP(A15,examTable!$A$2:$A$220,examTable!$E$2:$E$220)</f>
        <v>511 106-165 : CALCULUS FOR BIOLOGICAL SCIENTISTS I / 511 112-162-167</v>
      </c>
      <c r="C15" s="139" t="str">
        <f>_xlfn.XLOOKUP(A15,examTable!$A$2:$A$220,examTable!$F$2:$F$220)</f>
        <v>วรรณรัตน์ รุ่งโรจน์ธีระ</v>
      </c>
      <c r="D15" s="140" t="s">
        <v>814</v>
      </c>
      <c r="E15" s="141"/>
      <c r="F15" s="137">
        <v>30</v>
      </c>
      <c r="G15" s="138" t="str">
        <f>_xlfn.XLOOKUP(F15,examTable!$A$2:$A$220,examTable!$E$2:$E$220)</f>
        <v>511 201-162-165 : PRINCIPLES OF MATHEMATICS I</v>
      </c>
      <c r="H15" s="139" t="str">
        <f>_xlfn.XLOOKUP(F15,examTable!$A$2:$A$220,examTable!$F$2:$F$220)</f>
        <v>ธรรมธาดา เขมะรัชตกำธร</v>
      </c>
      <c r="I15" s="140" t="s">
        <v>814</v>
      </c>
    </row>
    <row r="16" customHeight="1" spans="1:9">
      <c r="A16" s="137">
        <v>31</v>
      </c>
      <c r="B16" s="138" t="str">
        <f>_xlfn.XLOOKUP(A16,examTable!$A$2:$A$220,examTable!$E$2:$E$220)</f>
        <v>512 315-165 : PLANT TAXONOMY (ฟ้า)</v>
      </c>
      <c r="C16" s="139" t="str">
        <f>_xlfn.XLOOKUP(A16,examTable!$A$2:$A$220,examTable!$F$2:$F$220)</f>
        <v>พิรดา สุมานนท์</v>
      </c>
      <c r="D16" s="140" t="s">
        <v>814</v>
      </c>
      <c r="E16" s="141"/>
      <c r="F16" s="137">
        <v>32</v>
      </c>
      <c r="G16" s="138" t="str">
        <f>_xlfn.XLOOKUP(F16,examTable!$A$2:$A$220,examTable!$E$2:$E$220)</f>
        <v>517 324-2560-165 : MOBILE APPLICATION DEVELOPMENT</v>
      </c>
      <c r="H16" s="139" t="str">
        <f>_xlfn.XLOOKUP(F16,examTable!$A$2:$A$220,examTable!$F$2:$F$220)</f>
        <v>อภิญญา ธาตุสุวรรณ์</v>
      </c>
      <c r="I16" s="140" t="s">
        <v>814</v>
      </c>
    </row>
    <row r="17" customHeight="1" spans="1:9">
      <c r="A17" s="137">
        <v>33</v>
      </c>
      <c r="B17" s="138" t="str">
        <f>_xlfn.XLOOKUP(A17,examTable!$A$2:$A$220,examTable!$E$2:$E$220)</f>
        <v>517 101-165 : DIGITAL LITERACY AND CITIZENSHIP (Lab)</v>
      </c>
      <c r="C17" s="139" t="str">
        <f>_xlfn.XLOOKUP(A17,examTable!$A$2:$A$220,examTable!$F$2:$F$220)</f>
        <v>วีณาวดี ม่วงอ้น</v>
      </c>
      <c r="D17" s="140" t="s">
        <v>814</v>
      </c>
      <c r="E17" s="141"/>
      <c r="F17" s="137">
        <v>34</v>
      </c>
      <c r="G17" s="138" t="str">
        <f>_xlfn.XLOOKUP(F17,examTable!$A$2:$A$220,examTable!$E$2:$E$220)</f>
        <v>519 241-165 : COMPUTATIONAL MATHEMATICS (Lab)</v>
      </c>
      <c r="H17" s="139" t="str">
        <f>_xlfn.XLOOKUP(F17,examTable!$A$2:$A$220,examTable!$F$2:$F$220)</f>
        <v>พัชรี สัมฤทธิ์นรพงศ์</v>
      </c>
      <c r="I17" s="140" t="s">
        <v>814</v>
      </c>
    </row>
    <row r="18" customHeight="1" spans="1:9">
      <c r="A18" s="137">
        <v>35</v>
      </c>
      <c r="B18" s="138" t="str">
        <f>_xlfn.XLOOKUP(A18,examTable!$A$2:$A$220,examTable!$E$2:$E$220)</f>
        <v>511 243-2560-162 : THEORY OF EQUATIONS (ฟ้า)</v>
      </c>
      <c r="C18" s="139" t="str">
        <f>_xlfn.XLOOKUP(A18,examTable!$A$2:$A$220,examTable!$F$2:$F$220)</f>
        <v>มาลินี ชัยยะ</v>
      </c>
      <c r="D18" s="140" t="s">
        <v>814</v>
      </c>
      <c r="E18" s="141"/>
      <c r="F18" s="137">
        <v>36</v>
      </c>
      <c r="G18" s="138" t="str">
        <f>_xlfn.XLOOKUP(F18,examTable!$A$2:$A$220,examTable!$E$2:$E$220)</f>
        <v>520 101-2560-165 : FOUNDATION OF COMPUTER AND INFORMATICS</v>
      </c>
      <c r="H18" s="139" t="str">
        <f>_xlfn.XLOOKUP(F18,examTable!$A$2:$A$220,examTable!$F$2:$F$220)</f>
        <v>กรัญญา สิทธิสงวน</v>
      </c>
      <c r="I18" s="140" t="s">
        <v>814</v>
      </c>
    </row>
    <row r="19" customHeight="1" spans="1:9">
      <c r="A19" s="137">
        <v>37</v>
      </c>
      <c r="B19" s="138" t="str">
        <f>_xlfn.XLOOKUP(A19,examTable!$A$2:$A$220,examTable!$E$2:$E$220)</f>
        <v>515 511-264 : PROBABILITY AND STATISTICAL INFERENCE (Lab) ป.โท</v>
      </c>
      <c r="C19" s="139" t="str">
        <f>_xlfn.XLOOKUP(A19,examTable!$A$2:$A$220,examTable!$F$2:$F$220)</f>
        <v>ชนกานต์ สังข์บุญชู</v>
      </c>
      <c r="D19" s="140" t="s">
        <v>814</v>
      </c>
      <c r="E19" s="141"/>
      <c r="F19" s="137">
        <v>38</v>
      </c>
      <c r="G19" s="138" t="str">
        <f>_xlfn.XLOOKUP(F19,examTable!$A$2:$A$220,examTable!$E$2:$E$220)</f>
        <v>513 231-2560-165 : ANALYTICAL CHEMISTRY I</v>
      </c>
      <c r="H19" s="139" t="str">
        <f>_xlfn.XLOOKUP(F19,examTable!$A$2:$A$220,examTable!$F$2:$F$220)</f>
        <v>สุมนมาลย์ จันทร์เอี่ยม</v>
      </c>
      <c r="I19" s="140" t="s">
        <v>814</v>
      </c>
    </row>
    <row r="20" customHeight="1" spans="1:9">
      <c r="A20" s="137">
        <v>39</v>
      </c>
      <c r="B20" s="138" t="str">
        <f>_xlfn.XLOOKUP(A20,examTable!$A$2:$A$220,examTable!$E$2:$E$220)</f>
        <v>513 422-2560 : PHYSICAL CHEMISTRY OF MACROMOLECULES</v>
      </c>
      <c r="C20" s="139" t="str">
        <f>_xlfn.XLOOKUP(A20,examTable!$A$2:$A$220,examTable!$F$2:$F$220)</f>
        <v>ฉันทนา วัยนิพิฐพงษ์</v>
      </c>
      <c r="D20" s="140" t="s">
        <v>814</v>
      </c>
      <c r="E20" s="141"/>
      <c r="F20" s="137">
        <v>40</v>
      </c>
      <c r="G20" s="138" t="str">
        <f>_xlfn.XLOOKUP(F20,examTable!$A$2:$A$220,examTable!$E$2:$E$220)</f>
        <v>512 416-2560 : PLANT TISSUE AND CELL CULTURE LABORATORY (ฟ้า)</v>
      </c>
      <c r="H20" s="139" t="str">
        <f>_xlfn.XLOOKUP(F20,examTable!$A$2:$A$220,examTable!$F$2:$F$220)</f>
        <v>กุลนาถ อบสุวรรณ</v>
      </c>
      <c r="I20" s="140" t="s">
        <v>814</v>
      </c>
    </row>
    <row r="21" customHeight="1" spans="1:9">
      <c r="A21" s="137">
        <v>41</v>
      </c>
      <c r="B21" s="138" t="str">
        <f>_xlfn.XLOOKUP(A21,examTable!$A$2:$A$220,examTable!$E$2:$E$220)</f>
        <v>524 141-166 : MATHEMATICS FOR SCIENCE TEACHER</v>
      </c>
      <c r="C21" s="139" t="str">
        <f>_xlfn.XLOOKUP(A21,examTable!$A$2:$A$220,examTable!$F$2:$F$220)</f>
        <v>รุ่งรัตน์ วัดตาล</v>
      </c>
      <c r="D21" s="140" t="s">
        <v>814</v>
      </c>
      <c r="E21" s="141"/>
      <c r="F21" s="137">
        <v>42</v>
      </c>
      <c r="G21" s="138" t="str">
        <f>_xlfn.XLOOKUP(F21,examTable!$A$2:$A$220,examTable!$E$2:$E$220)</f>
        <v>511 202-162 : PRINCIPLES OF MATHEMATICS II</v>
      </c>
      <c r="H21" s="139" t="str">
        <f>_xlfn.XLOOKUP(F21,examTable!$A$2:$A$220,examTable!$F$2:$F$220)</f>
        <v>จิราภา ลิ้มบุพศิริพร</v>
      </c>
      <c r="I21" s="140" t="s">
        <v>814</v>
      </c>
    </row>
    <row r="22" customHeight="1" spans="1:9">
      <c r="A22" s="137">
        <v>43</v>
      </c>
      <c r="B22" s="138" t="str">
        <f>_xlfn.XLOOKUP(A22,examTable!$A$2:$A$220,examTable!$E$2:$E$220)</f>
        <v>515 101-165 : STATISTICAL THINKING (Lab)</v>
      </c>
      <c r="C22" s="139" t="str">
        <f>_xlfn.XLOOKUP(A22,examTable!$A$2:$A$220,examTable!$F$2:$F$220)</f>
        <v>กมลชนก พานิชการ</v>
      </c>
      <c r="D22" s="140" t="s">
        <v>814</v>
      </c>
      <c r="E22" s="141"/>
      <c r="F22" s="137">
        <v>44</v>
      </c>
      <c r="G22" s="138" t="str">
        <f>_xlfn.XLOOKUP(F22,examTable!$A$2:$A$220,examTable!$E$2:$E$220)</f>
        <v>515 104-165 : STATISTICS FOR COMPUTING / 515 201--165-59 กลุ่ม 3 (Lect)</v>
      </c>
      <c r="H22" s="139" t="str">
        <f>_xlfn.XLOOKUP(F22,examTable!$A$2:$A$220,examTable!$F$2:$F$220)</f>
        <v>ประหยัด แสงงาม</v>
      </c>
      <c r="I22" s="140" t="s">
        <v>814</v>
      </c>
    </row>
    <row r="23" customHeight="1" spans="1:9">
      <c r="A23" s="137">
        <v>45</v>
      </c>
      <c r="B23" s="138" t="str">
        <f>_xlfn.XLOOKUP(A23,examTable!$A$2:$A$220,examTable!$E$2:$E$220)</f>
        <v>515 105-165 : STATISTICS FOR INFORMATION TECHNOLOGY / 515 201-59 กลุ่ม 2 (Lect) (ฟ้า)</v>
      </c>
      <c r="C23" s="139" t="str">
        <f>_xlfn.XLOOKUP(A23,examTable!$A$2:$A$220,examTable!$F$2:$F$220)</f>
        <v>ดุสิต ชัยประสิทธิกุล</v>
      </c>
      <c r="D23" s="140" t="s">
        <v>814</v>
      </c>
      <c r="E23" s="141"/>
      <c r="F23" s="137">
        <v>46</v>
      </c>
      <c r="G23" s="138" t="str">
        <f>_xlfn.XLOOKUP(F23,examTable!$A$2:$A$220,examTable!$E$2:$E$220)</f>
        <v>520 231-165 : DATA ANALYTICS / 520 215-160</v>
      </c>
      <c r="H23" s="139" t="str">
        <f>_xlfn.XLOOKUP(F23,examTable!$A$2:$A$220,examTable!$F$2:$F$220)</f>
        <v>สุนีย์ พงษ์พินิจภิญโญ</v>
      </c>
      <c r="I23" s="140" t="s">
        <v>814</v>
      </c>
    </row>
    <row r="24" customHeight="1" spans="1:9">
      <c r="A24" s="137">
        <v>47</v>
      </c>
      <c r="B24" s="138" t="str">
        <f>_xlfn.XLOOKUP(A24,examTable!$A$2:$A$220,examTable!$E$2:$E$220)</f>
        <v>515 571-264 : STATISTICAL LEARNING (Lab) ป.โท</v>
      </c>
      <c r="C24" s="139" t="str">
        <f>_xlfn.XLOOKUP(A24,examTable!$A$2:$A$220,examTable!$F$2:$F$220)</f>
        <v>อุดมลักษณ์ เกียรติชูพิพัฒน์</v>
      </c>
      <c r="D24" s="140" t="s">
        <v>814</v>
      </c>
      <c r="E24" s="141"/>
      <c r="F24" s="137">
        <v>48</v>
      </c>
      <c r="G24" s="138" t="str">
        <f>_xlfn.XLOOKUP(F24,examTable!$A$2:$A$220,examTable!$E$2:$E$220)</f>
        <v>515 203-165 : STATISTICS FOR BIOLOGICAL SCIENTISTS I (Lab)</v>
      </c>
      <c r="H24" s="139" t="str">
        <f>_xlfn.XLOOKUP(F24,examTable!$A$2:$A$220,examTable!$F$2:$F$220)</f>
        <v>ปิยพล ไพจิตร</v>
      </c>
      <c r="I24" s="140" t="s">
        <v>814</v>
      </c>
    </row>
    <row r="25" customHeight="1" spans="1:9">
      <c r="A25" s="137">
        <v>49</v>
      </c>
      <c r="B25" s="138" t="str">
        <f>_xlfn.XLOOKUP(A25,examTable!$A$2:$A$220,examTable!$E$2:$E$220)</f>
        <v>520 214-165 : DIGITAL PLATFORM AND INFRASTRUCTURE</v>
      </c>
      <c r="C25" s="139" t="str">
        <f>_xlfn.XLOOKUP(A25,examTable!$A$2:$A$220,examTable!$F$2:$F$220)</f>
        <v>คทา ประดิษฐวงศ์</v>
      </c>
      <c r="D25" s="140" t="s">
        <v>814</v>
      </c>
      <c r="E25" s="141"/>
      <c r="F25" s="137">
        <v>50</v>
      </c>
      <c r="G25" s="138" t="str">
        <f>_xlfn.XLOOKUP(F25,examTable!$A$2:$A$220,examTable!$E$2:$E$220)</f>
        <v>512 101-165 : GENERAL BIOLOGY</v>
      </c>
      <c r="H25" s="139" t="str">
        <f>_xlfn.XLOOKUP(F25,examTable!$A$2:$A$220,examTable!$F$2:$F$220)</f>
        <v>ยศเวท สิริจามร</v>
      </c>
      <c r="I25" s="140" t="s">
        <v>814</v>
      </c>
    </row>
    <row r="26" customHeight="1" spans="1:9">
      <c r="A26" s="137">
        <v>51</v>
      </c>
      <c r="B26" s="138" t="str">
        <f>_xlfn.XLOOKUP(A26,examTable!$A$2:$A$220,examTable!$E$2:$E$220)</f>
        <v>512 108-165 : BIOLOGY FOR APPLIED SCIENCE</v>
      </c>
      <c r="C26" s="139" t="str">
        <f>_xlfn.XLOOKUP(A26,examTable!$A$2:$A$220,examTable!$F$2:$F$220)</f>
        <v>ยศเวท สิริจามร</v>
      </c>
      <c r="D26" s="140" t="s">
        <v>814</v>
      </c>
      <c r="E26" s="141"/>
      <c r="F26" s="137">
        <v>52</v>
      </c>
      <c r="G26" s="138" t="str">
        <f>_xlfn.XLOOKUP(F26,examTable!$A$2:$A$220,examTable!$E$2:$E$220)</f>
        <v>516 331-165 : AIR QUALITY ANALYSIS (ฟ้า)</v>
      </c>
      <c r="H26" s="139" t="str">
        <f>_xlfn.XLOOKUP(F26,examTable!$A$2:$A$220,examTable!$F$2:$F$220)</f>
        <v>อังก์ศิริ ทิพยารมณ์</v>
      </c>
      <c r="I26" s="140" t="s">
        <v>814</v>
      </c>
    </row>
    <row r="27" customHeight="1" spans="1:9">
      <c r="A27" s="137">
        <v>53</v>
      </c>
      <c r="B27" s="138" t="str">
        <f>_xlfn.XLOOKUP(A27,examTable!$A$2:$A$220,examTable!$E$2:$E$220)</f>
        <v>515 203-165 : STATISTICS FOR BIOLOGICAL SCIENTISTS I</v>
      </c>
      <c r="C27" s="139" t="str">
        <f>_xlfn.XLOOKUP(A27,examTable!$A$2:$A$220,examTable!$F$2:$F$220)</f>
        <v>วิภาวรรณ เล้าอรุณ</v>
      </c>
      <c r="D27" s="140" t="s">
        <v>814</v>
      </c>
      <c r="E27" s="141"/>
      <c r="F27" s="137">
        <v>54</v>
      </c>
      <c r="G27" s="138" t="str">
        <f>_xlfn.XLOOKUP(F27,examTable!$A$2:$A$220,examTable!$E$2:$E$220)</f>
        <v>515 211-2560 : STATISTICAL INFERENCE I (ฟ้า)</v>
      </c>
      <c r="H27" s="139" t="str">
        <f>_xlfn.XLOOKUP(F27,examTable!$A$2:$A$220,examTable!$F$2:$F$220)</f>
        <v>ศศิประภา หิริโอตป์</v>
      </c>
      <c r="I27" s="140" t="s">
        <v>814</v>
      </c>
    </row>
    <row r="28" customHeight="1" spans="1:9">
      <c r="A28" s="137">
        <v>55</v>
      </c>
      <c r="B28" s="138" t="str">
        <f>_xlfn.XLOOKUP(A28,examTable!$A$2:$A$220,examTable!$E$2:$E$220)</f>
        <v>515 273-165 : STATISTICS FOR DATA SCIENCE (Lab)</v>
      </c>
      <c r="C28" s="139" t="str">
        <f>_xlfn.XLOOKUP(A28,examTable!$A$2:$A$220,examTable!$F$2:$F$220)</f>
        <v>กรรณิกาณ์ หิรัญกสิ</v>
      </c>
      <c r="D28" s="140" t="s">
        <v>814</v>
      </c>
      <c r="E28" s="141"/>
      <c r="F28" s="137">
        <v>56</v>
      </c>
      <c r="G28" s="138" t="str">
        <f>_xlfn.XLOOKUP(F28,examTable!$A$2:$A$220,examTable!$E$2:$E$220)</f>
        <v>517 111-165 : COMPUTER PROGRAMMING FOR DATA SCIENTISTS / 517 123-2561</v>
      </c>
      <c r="H28" s="139" t="str">
        <f>_xlfn.XLOOKUP(F28,examTable!$A$2:$A$220,examTable!$F$2:$F$220)</f>
        <v>โอภาส วงษ์ทวีทรัพย์</v>
      </c>
      <c r="I28" s="140" t="s">
        <v>814</v>
      </c>
    </row>
    <row r="29" customHeight="1" spans="1:9">
      <c r="A29" s="137">
        <v>57</v>
      </c>
      <c r="B29" s="138" t="str">
        <f>_xlfn.XLOOKUP(A29,examTable!$A$2:$A$220,examTable!$E$2:$E$220)</f>
        <v>520 331-2560-165 : ARTFICIAL INTELLIGENCE FOR INFORMATION TECHNOLOGY</v>
      </c>
      <c r="C29" s="139" t="str">
        <f>_xlfn.XLOOKUP(A29,examTable!$A$2:$A$220,examTable!$F$2:$F$220)</f>
        <v>ณัฐโชติ พรหมฤทธิ์</v>
      </c>
      <c r="D29" s="140" t="s">
        <v>814</v>
      </c>
      <c r="E29" s="141"/>
      <c r="F29" s="137">
        <v>58</v>
      </c>
      <c r="G29" s="138" t="str">
        <f>_xlfn.XLOOKUP(F29,examTable!$A$2:$A$220,examTable!$E$2:$E$220)</f>
        <v>514 202-165 : ELECTRONICS (ส้ม)</v>
      </c>
      <c r="H29" s="139" t="str">
        <f>_xlfn.XLOOKUP(F29,examTable!$A$2:$A$220,examTable!$F$2:$F$220)</f>
        <v>บดินทร์ ดำรงศักดิ์</v>
      </c>
      <c r="I29" s="140" t="s">
        <v>814</v>
      </c>
    </row>
    <row r="30" customHeight="1" spans="1:9">
      <c r="A30" s="137">
        <v>59</v>
      </c>
      <c r="B30" s="138" t="str">
        <f>_xlfn.XLOOKUP(A30,examTable!$A$2:$A$220,examTable!$E$2:$E$220)</f>
        <v>517 121-2560-165 : COMPUTER PROGRAMMING SKILL I</v>
      </c>
      <c r="C30" s="139" t="str">
        <f>_xlfn.XLOOKUP(A30,examTable!$A$2:$A$220,examTable!$F$2:$F$220)</f>
        <v>ปัญญนัท อ้นพงษ์</v>
      </c>
      <c r="D30" s="140" t="s">
        <v>814</v>
      </c>
      <c r="E30" s="141"/>
      <c r="F30" s="137">
        <v>60</v>
      </c>
      <c r="G30" s="138" t="str">
        <f>_xlfn.XLOOKUP(F30,examTable!$A$2:$A$220,examTable!$E$2:$E$220)</f>
        <v>519 451-2560 : FINITE DIFFERENCE METHODS AND APPLICATIONS (ฟ้า)</v>
      </c>
      <c r="H30" s="139" t="str">
        <f>_xlfn.XLOOKUP(F30,examTable!$A$2:$A$220,examTable!$F$2:$F$220)</f>
        <v>พรทรัพย์ พรสวัสดิ์</v>
      </c>
      <c r="I30" s="140" t="s">
        <v>814</v>
      </c>
    </row>
    <row r="31" customHeight="1" spans="1:9">
      <c r="A31" s="137">
        <v>61</v>
      </c>
      <c r="B31" s="138" t="str">
        <f>_xlfn.XLOOKUP(A31,examTable!$A$2:$A$220,examTable!$E$2:$E$220)</f>
        <v>517 331-160 : ARTIFICIAL INTELLIGENCE</v>
      </c>
      <c r="C31" s="139" t="str">
        <f>_xlfn.XLOOKUP(A31,examTable!$A$2:$A$220,examTable!$F$2:$F$220)</f>
        <v>ณัฐโชติ พรหมฤทธิ์</v>
      </c>
      <c r="D31" s="140" t="s">
        <v>814</v>
      </c>
      <c r="E31" s="141"/>
      <c r="F31" s="137">
        <v>62</v>
      </c>
      <c r="G31" s="138" t="str">
        <f>_xlfn.XLOOKUP(F31,examTable!$A$2:$A$220,examTable!$E$2:$E$220)</f>
        <v>518 201-165 : BACTERIOLOGY</v>
      </c>
      <c r="H31" s="139" t="str">
        <f>_xlfn.XLOOKUP(F31,examTable!$A$2:$A$220,examTable!$F$2:$F$220)</f>
        <v>อุรารักษ์ ร่มรื่น</v>
      </c>
      <c r="I31" s="140" t="s">
        <v>814</v>
      </c>
    </row>
    <row r="32" customHeight="1" spans="1:9">
      <c r="A32" s="137">
        <v>63</v>
      </c>
      <c r="B32" s="138" t="str">
        <f>_xlfn.XLOOKUP(A32,examTable!$A$2:$A$220,examTable!$E$2:$E$220)</f>
        <v>520 231-165 : DATA ANALYTICS / 520 215-160 (Lab)</v>
      </c>
      <c r="C32" s="139" t="str">
        <f>_xlfn.XLOOKUP(A32,examTable!$A$2:$A$220,examTable!$F$2:$F$220)</f>
        <v>สุนีย์ พงษ์พินิจภิญโญ</v>
      </c>
      <c r="D32" s="140" t="s">
        <v>814</v>
      </c>
      <c r="E32" s="141"/>
      <c r="F32" s="137">
        <v>64</v>
      </c>
      <c r="G32" s="138" t="str">
        <f>_xlfn.XLOOKUP(F32,examTable!$A$2:$A$220,examTable!$E$2:$E$220)</f>
        <v>522 363-2561-165 : UNSUPERVISED MACHINE LEARNING (Lab)</v>
      </c>
      <c r="H32" s="139" t="str">
        <f>_xlfn.XLOOKUP(F32,examTable!$A$2:$A$220,examTable!$F$2:$F$220)</f>
        <v>รัชดาพร คณาวงษ์</v>
      </c>
      <c r="I32" s="140" t="s">
        <v>814</v>
      </c>
    </row>
    <row r="33" customHeight="1" spans="1:9">
      <c r="A33" s="137">
        <v>65</v>
      </c>
      <c r="B33" s="138" t="str">
        <f>_xlfn.XLOOKUP(A33,examTable!$A$2:$A$220,examTable!$E$2:$E$220)</f>
        <v>511 110-2561-165 : CALCULUS FOR DATA SCIENTISTS I</v>
      </c>
      <c r="C33" s="139" t="str">
        <f>_xlfn.XLOOKUP(A33,examTable!$A$2:$A$220,examTable!$F$2:$F$220)</f>
        <v>สืบสกุล อยู่ยืนยง</v>
      </c>
      <c r="D33" s="140" t="s">
        <v>814</v>
      </c>
      <c r="E33" s="141"/>
      <c r="F33" s="137">
        <v>66</v>
      </c>
      <c r="G33" s="138" t="str">
        <f>_xlfn.XLOOKUP(F33,examTable!$A$2:$A$220,examTable!$E$2:$E$220)</f>
        <v>517 311-2560-165 : ALGORITHM ANALYSIS AND DESIGN (ฟ้า)</v>
      </c>
      <c r="H33" s="139" t="str">
        <f>_xlfn.XLOOKUP(F33,examTable!$A$2:$A$220,examTable!$F$2:$F$220)</f>
        <v>คทา ประดิษฐวงศ์</v>
      </c>
      <c r="I33" s="140" t="s">
        <v>814</v>
      </c>
    </row>
    <row r="34" customHeight="1" spans="1:9">
      <c r="A34" s="137">
        <v>67</v>
      </c>
      <c r="B34" s="138" t="str">
        <f>_xlfn.XLOOKUP(A34,examTable!$A$2:$A$220,examTable!$E$2:$E$220)</f>
        <v>520 321-2560-165 : DATABASE SYSTEM ADMINISTRATION (ส้ม)</v>
      </c>
      <c r="C34" s="139" t="str">
        <f>_xlfn.XLOOKUP(A34,examTable!$A$2:$A$220,examTable!$F$2:$F$220)</f>
        <v>อรวรรณ เชาวลิต</v>
      </c>
      <c r="D34" s="140" t="s">
        <v>814</v>
      </c>
      <c r="E34" s="141"/>
      <c r="F34" s="137">
        <v>68</v>
      </c>
      <c r="G34" s="138" t="str">
        <f>_xlfn.XLOOKUP(F34,examTable!$A$2:$A$220,examTable!$E$2:$E$220)</f>
        <v>511 221-2560-165 : DIFFERENTIAL EQUATIONS (ฟ้า)</v>
      </c>
      <c r="H34" s="139" t="str">
        <f>_xlfn.XLOOKUP(F34,examTable!$A$2:$A$220,examTable!$F$2:$F$220)</f>
        <v>วรรณรัตน์ รุ่งโรจน์ธีระ</v>
      </c>
      <c r="I34" s="140" t="s">
        <v>814</v>
      </c>
    </row>
    <row r="35" customHeight="1" spans="1:9">
      <c r="A35" s="137">
        <v>69</v>
      </c>
      <c r="B35" s="138" t="str">
        <f>_xlfn.XLOOKUP(A35,examTable!$A$2:$A$220,examTable!$E$2:$E$220)</f>
        <v>512 235-2560-165 : VERTEBRATE ZOOLOGY</v>
      </c>
      <c r="C35" s="139" t="str">
        <f>_xlfn.XLOOKUP(A35,examTable!$A$2:$A$220,examTable!$F$2:$F$220)</f>
        <v>กัมปนาท ธาราภูมิ</v>
      </c>
      <c r="D35" s="140" t="s">
        <v>814</v>
      </c>
      <c r="E35" s="141"/>
      <c r="F35" s="137">
        <v>70</v>
      </c>
      <c r="G35" s="138" t="str">
        <f>_xlfn.XLOOKUP(F35,examTable!$A$2:$A$220,examTable!$E$2:$E$220)</f>
        <v>512 102-165 : GENERAL BIOLOGY LABORATORY</v>
      </c>
      <c r="H35" s="139" t="str">
        <f>_xlfn.XLOOKUP(F35,examTable!$A$2:$A$220,examTable!$F$2:$F$220)</f>
        <v>กรกช ชั้นจิรกุล</v>
      </c>
      <c r="I35" s="140" t="s">
        <v>814</v>
      </c>
    </row>
    <row r="36" customHeight="1" spans="1:9">
      <c r="A36" s="137">
        <v>71</v>
      </c>
      <c r="B36" s="138" t="str">
        <f>_xlfn.XLOOKUP(A36,examTable!$A$2:$A$220,examTable!$E$2:$E$220)</f>
        <v>513 331-2560-165 : ANALYTICAL CHEMISTRY III</v>
      </c>
      <c r="C36" s="139" t="str">
        <f>_xlfn.XLOOKUP(A36,examTable!$A$2:$A$220,examTable!$F$2:$F$220)</f>
        <v>ศิริรัตน์ ชูสกุลเกรียง</v>
      </c>
      <c r="D36" s="140" t="s">
        <v>814</v>
      </c>
      <c r="E36" s="141"/>
      <c r="F36" s="137">
        <v>72</v>
      </c>
      <c r="G36" s="138" t="str">
        <f>_xlfn.XLOOKUP(F36,examTable!$A$2:$A$220,examTable!$E$2:$E$220)</f>
        <v>515 203-165 : STATISTICS FOR BIOLOGICAL SCIENTISTS I</v>
      </c>
      <c r="H36" s="139" t="str">
        <f>_xlfn.XLOOKUP(F36,examTable!$A$2:$A$220,examTable!$F$2:$F$220)</f>
        <v>ปิยพล ไพจิตร</v>
      </c>
      <c r="I36" s="140" t="s">
        <v>814</v>
      </c>
    </row>
    <row r="37" customHeight="1" spans="1:9">
      <c r="A37" s="137">
        <v>73</v>
      </c>
      <c r="B37" s="138" t="str">
        <f>_xlfn.XLOOKUP(A37,examTable!$A$2:$A$220,examTable!$E$2:$E$220)</f>
        <v>515 273-165 : STATISTICS FOR DATA SCIENCE openbook</v>
      </c>
      <c r="C37" s="139" t="str">
        <f>_xlfn.XLOOKUP(A37,examTable!$A$2:$A$220,examTable!$F$2:$F$220)</f>
        <v>กรรณิกาณ์ หิรัญกสิ</v>
      </c>
      <c r="D37" s="140" t="s">
        <v>814</v>
      </c>
      <c r="E37" s="141"/>
      <c r="F37" s="137">
        <v>74</v>
      </c>
      <c r="G37" s="138" t="str">
        <f>_xlfn.XLOOKUP(F37,examTable!$A$2:$A$220,examTable!$E$2:$E$220)</f>
        <v>516 420-2560 : ENVIRONMENTAL TOXICOLOGY openbook</v>
      </c>
      <c r="H37" s="139" t="str">
        <f>_xlfn.XLOOKUP(F37,examTable!$A$2:$A$220,examTable!$F$2:$F$220)</f>
        <v>อุมารัจน์ สันติสุขเกษม</v>
      </c>
      <c r="I37" s="140" t="s">
        <v>814</v>
      </c>
    </row>
    <row r="38" customHeight="1" spans="1:9">
      <c r="A38" s="137">
        <v>75</v>
      </c>
      <c r="B38" s="138" t="str">
        <f>_xlfn.XLOOKUP(A38,examTable!$A$2:$A$220,examTable!$E$2:$E$220)</f>
        <v>518 202-165 : BACTERIOLOGY LABORATORY</v>
      </c>
      <c r="C38" s="139" t="str">
        <f>_xlfn.XLOOKUP(A38,examTable!$A$2:$A$220,examTable!$F$2:$F$220)</f>
        <v>อุรารักษ์ ร่มรื่น</v>
      </c>
      <c r="D38" s="140" t="s">
        <v>814</v>
      </c>
      <c r="E38" s="141"/>
      <c r="F38" s="137">
        <v>76</v>
      </c>
      <c r="G38" s="138" t="str">
        <f>_xlfn.XLOOKUP(F38,examTable!$A$2:$A$220,examTable!$E$2:$E$220)</f>
        <v>514 301-165 : WAVES AND VIBRATIONS (ฟ้า)</v>
      </c>
      <c r="H38" s="139" t="str">
        <f>_xlfn.XLOOKUP(F38,examTable!$A$2:$A$220,examTable!$F$2:$F$220)</f>
        <v>ชวรัตน์ ศิริวงษ์</v>
      </c>
      <c r="I38" s="140" t="s">
        <v>814</v>
      </c>
    </row>
    <row r="39" customHeight="1" spans="1:9">
      <c r="A39" s="137">
        <v>77</v>
      </c>
      <c r="B39" s="138" t="str">
        <f>_xlfn.XLOOKUP(A39,examTable!$A$2:$A$220,examTable!$E$2:$E$220)</f>
        <v>522 363-2561-165 : UNSUPERVISED MACHINE LEARNING</v>
      </c>
      <c r="C39" s="139" t="str">
        <f>_xlfn.XLOOKUP(A39,examTable!$A$2:$A$220,examTable!$F$2:$F$220)</f>
        <v>รัชดาพร คณาวงษ์</v>
      </c>
      <c r="D39" s="140" t="s">
        <v>814</v>
      </c>
      <c r="E39" s="141"/>
      <c r="F39" s="137">
        <v>78</v>
      </c>
      <c r="G39" s="138" t="str">
        <f>_xlfn.XLOOKUP(F39,examTable!$A$2:$A$220,examTable!$E$2:$E$220)</f>
        <v>517 121-2560-165 : COMPUTER PROGRAMMING SKILL I (Lab)</v>
      </c>
      <c r="H39" s="139" t="str">
        <f>_xlfn.XLOOKUP(F39,examTable!$A$2:$A$220,examTable!$F$2:$F$220)</f>
        <v>ปัญญนัท อ้นพงษ์</v>
      </c>
      <c r="I39" s="140" t="s">
        <v>814</v>
      </c>
    </row>
    <row r="40" customHeight="1" spans="1:9">
      <c r="A40" s="137">
        <v>79</v>
      </c>
      <c r="B40" s="138" t="str">
        <f>_xlfn.XLOOKUP(A40,examTable!$A$2:$A$220,examTable!$E$2:$E$220)</f>
        <v>511 200-165 : ENGLISH FOR MATHEMATICS I</v>
      </c>
      <c r="C40" s="139" t="str">
        <f>_xlfn.XLOOKUP(A40,examTable!$A$2:$A$220,examTable!$F$2:$F$220)</f>
        <v>ประพันธ์พงศ์ พงศ์ศรีเอี่ยม</v>
      </c>
      <c r="D40" s="140" t="s">
        <v>814</v>
      </c>
      <c r="E40" s="141"/>
      <c r="F40" s="137">
        <v>80</v>
      </c>
      <c r="G40" s="138" t="str">
        <f>_xlfn.XLOOKUP(F40,examTable!$A$2:$A$220,examTable!$E$2:$E$220)</f>
        <v>512 462-2560 : CYTOGENETICS (ส้ม)</v>
      </c>
      <c r="H40" s="139" t="str">
        <f>_xlfn.XLOOKUP(F40,examTable!$A$2:$A$220,examTable!$F$2:$F$220)</f>
        <v>สุพรรณญิกา เส็งสาย</v>
      </c>
      <c r="I40" s="140" t="s">
        <v>814</v>
      </c>
    </row>
    <row r="41" customHeight="1" spans="1:9">
      <c r="A41" s="137">
        <v>81</v>
      </c>
      <c r="B41" s="138" t="str">
        <f>_xlfn.XLOOKUP(A41,examTable!$A$2:$A$220,examTable!$E$2:$E$220)</f>
        <v>513 441-2560 : BIOCHEMISTRY II (ฟ้า)</v>
      </c>
      <c r="C41" s="139" t="str">
        <f>_xlfn.XLOOKUP(A41,examTable!$A$2:$A$220,examTable!$F$2:$F$220)</f>
        <v>ชนากานต์ ทองสุข</v>
      </c>
      <c r="D41" s="140" t="s">
        <v>814</v>
      </c>
      <c r="E41" s="141"/>
      <c r="F41" s="137">
        <v>82</v>
      </c>
      <c r="G41" s="138" t="str">
        <f>_xlfn.XLOOKUP(F41,examTable!$A$2:$A$220,examTable!$E$2:$E$220)</f>
        <v>511 151-165 : PROBLEM SOLVING SKILLS DEVELOPMENT THROUGH MATHEMATICAL GAMES (ฟ้า)</v>
      </c>
      <c r="H41" s="139" t="str">
        <f>_xlfn.XLOOKUP(F41,examTable!$A$2:$A$220,examTable!$F$2:$F$220)</f>
        <v>เฉลิมพงศ์ วรวรรโณทัย</v>
      </c>
      <c r="I41" s="140" t="s">
        <v>814</v>
      </c>
    </row>
    <row r="42" customHeight="1" spans="1:9">
      <c r="A42" s="137">
        <v>83</v>
      </c>
      <c r="B42" s="138" t="str">
        <f>_xlfn.XLOOKUP(A42,examTable!$A$2:$A$220,examTable!$E$2:$E$220)</f>
        <v>513 354-2560 : SPECTROSCOPY IN ORGANIC CHEMISTRY</v>
      </c>
      <c r="C42" s="139" t="str">
        <f>_xlfn.XLOOKUP(A42,examTable!$A$2:$A$220,examTable!$F$2:$F$220)</f>
        <v>วยา พุทธวงศ์</v>
      </c>
      <c r="D42" s="140" t="s">
        <v>814</v>
      </c>
      <c r="E42" s="141"/>
      <c r="F42" s="137">
        <v>84</v>
      </c>
      <c r="G42" s="138" t="str">
        <f>_xlfn.XLOOKUP(F42,examTable!$A$2:$A$220,examTable!$E$2:$E$220)</f>
        <v>511 206-2560 : ENGINEERING MATHEMATICS / 511 282-55 (ฟ้า)</v>
      </c>
      <c r="H42" s="139" t="str">
        <f>_xlfn.XLOOKUP(F42,examTable!$A$2:$A$220,examTable!$F$2:$F$220)</f>
        <v>สมพงค์ จิตต์มั่น</v>
      </c>
      <c r="I42" s="140" t="s">
        <v>814</v>
      </c>
    </row>
    <row r="43" customHeight="1" spans="1:9">
      <c r="A43" s="137">
        <v>85</v>
      </c>
      <c r="B43" s="138" t="str">
        <f>_xlfn.XLOOKUP(A43,examTable!$A$2:$A$220,examTable!$E$2:$E$220)</f>
        <v>511 244-2561-165 : LINEAR ALGEBRA FOR DATA SCIENTISTS</v>
      </c>
      <c r="C43" s="139" t="str">
        <f>_xlfn.XLOOKUP(A43,examTable!$A$2:$A$220,examTable!$F$2:$F$220)</f>
        <v>ธนากร ปริญญาศาสตร์</v>
      </c>
      <c r="D43" s="140" t="s">
        <v>814</v>
      </c>
      <c r="E43" s="141"/>
      <c r="F43" s="137">
        <v>86</v>
      </c>
      <c r="G43" s="138" t="str">
        <f>_xlfn.XLOOKUP(F43,examTable!$A$2:$A$220,examTable!$E$2:$E$220)</f>
        <v>515 261-2560-165 : STATISTICAL PROGRAMMING openbook</v>
      </c>
      <c r="H43" s="139" t="str">
        <f>_xlfn.XLOOKUP(F43,examTable!$A$2:$A$220,examTable!$F$2:$F$220)</f>
        <v>กรรณิกาณ์ หิรัญกสิ</v>
      </c>
      <c r="I43" s="140" t="s">
        <v>814</v>
      </c>
    </row>
    <row r="44" customHeight="1" spans="1:9">
      <c r="A44" s="137">
        <v>87</v>
      </c>
      <c r="B44" s="138" t="str">
        <f>_xlfn.XLOOKUP(A44,examTable!$A$2:$A$220,examTable!$E$2:$E$220)</f>
        <v>515 321-165 : EXPERIMENTAL DESIGN AND ANALYSIS (Lab)</v>
      </c>
      <c r="C44" s="139" t="str">
        <f>_xlfn.XLOOKUP(A44,examTable!$A$2:$A$220,examTable!$F$2:$F$220)</f>
        <v>กมลชนก พานิชการ</v>
      </c>
      <c r="D44" s="140" t="s">
        <v>814</v>
      </c>
      <c r="E44" s="141"/>
      <c r="F44" s="137">
        <v>88</v>
      </c>
      <c r="G44" s="138" t="str">
        <f>_xlfn.XLOOKUP(F44,examTable!$A$2:$A$220,examTable!$E$2:$E$220)</f>
        <v>518 210-165 : APPLIED BACTERIOLOGY</v>
      </c>
      <c r="H44" s="139" t="str">
        <f>_xlfn.XLOOKUP(F44,examTable!$A$2:$A$220,examTable!$F$2:$F$220)</f>
        <v>กิตติมา ไวไธสง</v>
      </c>
      <c r="I44" s="140" t="s">
        <v>814</v>
      </c>
    </row>
    <row r="45" customHeight="1" spans="1:9">
      <c r="A45" s="137">
        <v>89</v>
      </c>
      <c r="B45" s="138" t="str">
        <f>_xlfn.XLOOKUP(A45,examTable!$A$2:$A$220,examTable!$E$2:$E$220)</f>
        <v>518 301-165 : IMMUNOLOGY / 518 305-2560</v>
      </c>
      <c r="C45" s="139" t="str">
        <f>_xlfn.XLOOKUP(A45,examTable!$A$2:$A$220,examTable!$F$2:$F$220)</f>
        <v>ธงชัย เตโชวิศาล</v>
      </c>
      <c r="D45" s="140" t="s">
        <v>814</v>
      </c>
      <c r="E45" s="141"/>
      <c r="F45" s="137">
        <v>90</v>
      </c>
      <c r="G45" s="138" t="str">
        <f>_xlfn.XLOOKUP(F45,examTable!$A$2:$A$220,examTable!$E$2:$E$220)</f>
        <v>520 341-2560 : INTERNET AND WORLD WIDE WEB TECHNOLOGY AND PROGRAMMING (Lect)</v>
      </c>
      <c r="H45" s="139" t="str">
        <f>_xlfn.XLOOKUP(F45,examTable!$A$2:$A$220,examTable!$F$2:$F$220)</f>
        <v>เสฐลัทธ์ รอดเหตุภัย</v>
      </c>
      <c r="I45" s="140" t="s">
        <v>814</v>
      </c>
    </row>
    <row r="46" customHeight="1" spans="1:9">
      <c r="A46" s="137">
        <v>91</v>
      </c>
      <c r="B46" s="138" t="str">
        <f>_xlfn.XLOOKUP(A46,examTable!$A$2:$A$220,examTable!$E$2:$E$220)</f>
        <v>517 312-2560-165 : OPERATING SYSTEMS</v>
      </c>
      <c r="C46" s="139" t="str">
        <f>_xlfn.XLOOKUP(A46,examTable!$A$2:$A$220,examTable!$F$2:$F$220)</f>
        <v>สิรักข์ แก้วจำนงค์</v>
      </c>
      <c r="D46" s="140" t="s">
        <v>814</v>
      </c>
      <c r="E46" s="141"/>
      <c r="F46" s="137">
        <v>92</v>
      </c>
      <c r="G46" s="138" t="str">
        <f>_xlfn.XLOOKUP(F46,examTable!$A$2:$A$220,examTable!$E$2:$E$220)</f>
        <v>524 271-166 : FOUNDATION OF COMPUTER AND INFORMATICS (ฟ้า)</v>
      </c>
      <c r="H46" s="139" t="str">
        <f>_xlfn.XLOOKUP(F46,examTable!$A$2:$A$220,examTable!$F$2:$F$220)</f>
        <v>รัชดาพร คณาวงษ์</v>
      </c>
      <c r="I46" s="140" t="s">
        <v>814</v>
      </c>
    </row>
    <row r="47" customHeight="1" spans="1:9">
      <c r="A47" s="137">
        <v>93</v>
      </c>
      <c r="B47" s="138" t="str">
        <f>_xlfn.XLOOKUP(A47,examTable!$A$2:$A$220,examTable!$E$2:$E$220)</f>
        <v>511 244-2561-165 : LINEAR ALGEBRA FOR DATA SCIENTISTS (Lab)</v>
      </c>
      <c r="C47" s="139" t="str">
        <f>_xlfn.XLOOKUP(A47,examTable!$A$2:$A$220,examTable!$F$2:$F$220)</f>
        <v>ธนากร ปริญญาศาสตร์</v>
      </c>
      <c r="D47" s="140" t="s">
        <v>814</v>
      </c>
      <c r="E47" s="141"/>
      <c r="F47" s="137">
        <v>94</v>
      </c>
      <c r="G47" s="138" t="str">
        <f>_xlfn.XLOOKUP(F47,examTable!$A$2:$A$220,examTable!$E$2:$E$220)</f>
        <v>518 102-165 : GENERAL MICROBIOLOGY LABORATORY</v>
      </c>
      <c r="H47" s="139" t="str">
        <f>_xlfn.XLOOKUP(F47,examTable!$A$2:$A$220,examTable!$F$2:$F$220)</f>
        <v>อรวรรณ บริรักษ์</v>
      </c>
      <c r="I47" s="140" t="s">
        <v>814</v>
      </c>
    </row>
    <row r="48" customHeight="1" spans="1:9">
      <c r="A48" s="137">
        <v>95</v>
      </c>
      <c r="B48" s="138" t="str">
        <f>_xlfn.XLOOKUP(A48,examTable!$A$2:$A$220,examTable!$E$2:$E$220)</f>
        <v>523 301-165 : QUALITY MANAGEMENT SYSTEM IN INDUSTRY (ฟ้า)</v>
      </c>
      <c r="C48" s="139" t="str">
        <f>_xlfn.XLOOKUP(A48,examTable!$A$2:$A$220,examTable!$F$2:$F$220)</f>
        <v>สุชารัตน์ สนองเกียรติ</v>
      </c>
      <c r="D48" s="140" t="s">
        <v>814</v>
      </c>
      <c r="E48" s="141"/>
      <c r="F48" s="137">
        <v>96</v>
      </c>
      <c r="G48" s="138" t="str">
        <f>_xlfn.XLOOKUP(F48,examTable!$A$2:$A$220,examTable!$E$2:$E$220)</f>
        <v>511 204-165 : MATHEMATICS FOR CHEMISTS</v>
      </c>
      <c r="H48" s="139" t="str">
        <f>_xlfn.XLOOKUP(F48,examTable!$A$2:$A$220,examTable!$F$2:$F$220)</f>
        <v>สมพงค์ จิตต์มั่น</v>
      </c>
      <c r="I48" s="140" t="s">
        <v>814</v>
      </c>
    </row>
    <row r="49" customHeight="1" spans="1:9">
      <c r="A49" s="137">
        <v>97</v>
      </c>
      <c r="B49" s="138" t="str">
        <f>_xlfn.XLOOKUP(A49,examTable!$A$2:$A$220,examTable!$E$2:$E$220)</f>
        <v>514 441-2560 : RENEWABLE ENERGY (ฟ้า)</v>
      </c>
      <c r="C49" s="139" t="str">
        <f>_xlfn.XLOOKUP(A49,examTable!$A$2:$A$220,examTable!$F$2:$F$220)</f>
        <v>กรทิพย์ โต๊ะสิงห์</v>
      </c>
      <c r="D49" s="140" t="s">
        <v>814</v>
      </c>
      <c r="E49" s="141"/>
      <c r="F49" s="137">
        <v>98</v>
      </c>
      <c r="G49" s="138" t="str">
        <f>_xlfn.XLOOKUP(F49,examTable!$A$2:$A$220,examTable!$E$2:$E$220)</f>
        <v>515 231-2560 : PROBABILITY / 515 232-2560-165</v>
      </c>
      <c r="H49" s="139" t="str">
        <f>_xlfn.XLOOKUP(F49,examTable!$A$2:$A$220,examTable!$F$2:$F$220)</f>
        <v>ปิยพล ไพจิตร</v>
      </c>
      <c r="I49" s="140" t="s">
        <v>814</v>
      </c>
    </row>
    <row r="50" customHeight="1" spans="1:9">
      <c r="A50" s="137">
        <v>99</v>
      </c>
      <c r="B50" s="138" t="str">
        <f>_xlfn.XLOOKUP(A50,examTable!$A$2:$A$220,examTable!$E$2:$E$220)</f>
        <v>515 261-2560 : STATISTICAL PROGRAMMING (Lab) openbook</v>
      </c>
      <c r="C50" s="139" t="str">
        <f>_xlfn.XLOOKUP(A50,examTable!$A$2:$A$220,examTable!$F$2:$F$220)</f>
        <v>กรรณิกาณ์ หิรัญกสิ</v>
      </c>
      <c r="D50" s="140" t="s">
        <v>814</v>
      </c>
      <c r="E50" s="141"/>
      <c r="F50" s="137">
        <v>100</v>
      </c>
      <c r="G50" s="138" t="str">
        <f>_xlfn.XLOOKUP(F50,examTable!$A$2:$A$220,examTable!$E$2:$E$220)</f>
        <v>516 311-2560 : HAZARDOUS WASTE MANAGEMENT openbook</v>
      </c>
      <c r="H50" s="139" t="str">
        <f>_xlfn.XLOOKUP(F50,examTable!$A$2:$A$220,examTable!$F$2:$F$220)</f>
        <v>มัลลิกา ปัญญาคะโป</v>
      </c>
      <c r="I50" s="140" t="s">
        <v>814</v>
      </c>
    </row>
    <row r="51" customHeight="1" spans="1:9">
      <c r="A51" s="137">
        <v>101</v>
      </c>
      <c r="B51" s="138" t="str">
        <f>_xlfn.XLOOKUP(A51,examTable!$A$2:$A$220,examTable!$E$2:$E$220)</f>
        <v>518 302-165 : IMMUNOLOGY LABORATORY / 518 306-2560</v>
      </c>
      <c r="C51" s="139" t="str">
        <f>_xlfn.XLOOKUP(A51,examTable!$A$2:$A$220,examTable!$F$2:$F$220)</f>
        <v>ธงชัย เตโชวิศาล</v>
      </c>
      <c r="D51" s="140" t="s">
        <v>814</v>
      </c>
      <c r="E51" s="141"/>
      <c r="F51" s="137">
        <v>102</v>
      </c>
      <c r="G51" s="138" t="str">
        <f>_xlfn.XLOOKUP(F51,examTable!$A$2:$A$220,examTable!$E$2:$E$220)</f>
        <v>519 362-2560 : INTRODUCTION TO FINANCIAL MATHEMATICS / 519 362-165 (ฟ้า)</v>
      </c>
      <c r="H51" s="139" t="str">
        <f>_xlfn.XLOOKUP(F51,examTable!$A$2:$A$220,examTable!$F$2:$F$220)</f>
        <v>กลศ พัฒนะรพีเลิศ</v>
      </c>
      <c r="I51" s="140" t="s">
        <v>814</v>
      </c>
    </row>
    <row r="52" customHeight="1" spans="1:9">
      <c r="A52" s="137">
        <v>103</v>
      </c>
      <c r="B52" s="138" t="str">
        <f>_xlfn.XLOOKUP(A52,examTable!$A$2:$A$220,examTable!$E$2:$E$220)</f>
        <v>520 341-2560 : INTERNET AND WORLD WIDE WEB TECHNOLOGY AND PROGRAMMING (Lab)</v>
      </c>
      <c r="C52" s="139" t="str">
        <f>_xlfn.XLOOKUP(A52,examTable!$A$2:$A$220,examTable!$F$2:$F$220)</f>
        <v>เสฐลัทธ์ รอดเหตุภัย</v>
      </c>
      <c r="D52" s="140" t="s">
        <v>814</v>
      </c>
      <c r="E52" s="141"/>
      <c r="F52" s="137">
        <v>104</v>
      </c>
      <c r="G52" s="138" t="str">
        <f>_xlfn.XLOOKUP(F52,examTable!$A$2:$A$220,examTable!$E$2:$E$220)</f>
        <v>513 415-2560 : NANOMATERIALS</v>
      </c>
      <c r="H52" s="139" t="str">
        <f>_xlfn.XLOOKUP(F52,examTable!$A$2:$A$220,examTable!$F$2:$F$220)</f>
        <v>ชีวิตา สุวรรณชวลิต</v>
      </c>
      <c r="I52" s="140" t="s">
        <v>814</v>
      </c>
    </row>
    <row r="53" customHeight="1" spans="1:9">
      <c r="A53" s="137">
        <v>105</v>
      </c>
      <c r="B53" s="138" t="str">
        <f>_xlfn.XLOOKUP(A53,examTable!$A$2:$A$220,examTable!$E$2:$E$220)</f>
        <v>511 241-2560-165 : LINEAR ALGEBRA I / 511 242-2560</v>
      </c>
      <c r="C53" s="139" t="str">
        <f>_xlfn.XLOOKUP(A53,examTable!$A$2:$A$220,examTable!$F$2:$F$220)</f>
        <v>ทิวดี มุสันเทียะ</v>
      </c>
      <c r="D53" s="140" t="s">
        <v>814</v>
      </c>
      <c r="E53" s="141"/>
      <c r="F53" s="137">
        <v>106</v>
      </c>
      <c r="G53" s="138" t="str">
        <f>_xlfn.XLOOKUP(F53,examTable!$A$2:$A$220,examTable!$E$2:$E$220)</f>
        <v>514 101-55-2560-165 : GENERAL PHYSICS I</v>
      </c>
      <c r="H53" s="139" t="str">
        <f>_xlfn.XLOOKUP(F53,examTable!$A$2:$A$220,examTable!$F$2:$F$220)</f>
        <v>อรทัย เขียวพุ่ม</v>
      </c>
      <c r="I53" s="140" t="s">
        <v>814</v>
      </c>
    </row>
    <row r="54" customHeight="1" spans="1:9">
      <c r="A54" s="137">
        <v>107</v>
      </c>
      <c r="B54" s="138" t="str">
        <f>_xlfn.XLOOKUP(A54,examTable!$A$2:$A$220,examTable!$E$2:$E$220)</f>
        <v>515 222-2560 : APPLIED NONPARAMETRIC STATISTICS (Lab) openbook</v>
      </c>
      <c r="C54" s="139" t="str">
        <f>_xlfn.XLOOKUP(A54,examTable!$A$2:$A$220,examTable!$F$2:$F$220)</f>
        <v>ประหยัด แสงงาม</v>
      </c>
      <c r="D54" s="140" t="s">
        <v>814</v>
      </c>
      <c r="E54" s="141"/>
      <c r="F54" s="137">
        <v>108</v>
      </c>
      <c r="G54" s="138" t="str">
        <f>_xlfn.XLOOKUP(F54,examTable!$A$2:$A$220,examTable!$E$2:$E$220)</f>
        <v>516 336-2560 : NOISE POLLUTION AND VIBRATION (ฟ้า)</v>
      </c>
      <c r="H54" s="139" t="str">
        <f>_xlfn.XLOOKUP(F54,examTable!$A$2:$A$220,examTable!$F$2:$F$220)</f>
        <v>รัฐพล อ้นแฉ่ง</v>
      </c>
      <c r="I54" s="140" t="s">
        <v>814</v>
      </c>
    </row>
    <row r="55" customHeight="1" spans="1:9">
      <c r="A55" s="137">
        <v>109</v>
      </c>
      <c r="B55" s="138" t="str">
        <f>_xlfn.XLOOKUP(A55,examTable!$A$2:$A$220,examTable!$E$2:$E$220)</f>
        <v>517 101-165 : DIGITAL LITERACY AND CITIZENSHIP</v>
      </c>
      <c r="C55" s="139" t="str">
        <f>_xlfn.XLOOKUP(A55,examTable!$A$2:$A$220,examTable!$F$2:$F$220)</f>
        <v>วีณาวดี ม่วงอ้น</v>
      </c>
      <c r="D55" s="140" t="s">
        <v>814</v>
      </c>
      <c r="E55" s="141"/>
      <c r="F55" s="137">
        <v>110</v>
      </c>
      <c r="G55" s="138" t="str">
        <f>_xlfn.XLOOKUP(F55,examTable!$A$2:$A$220,examTable!$E$2:$E$220)</f>
        <v>518 401-2560 : INTRODUCTION TO BIOINFORMATICS (Lab)</v>
      </c>
      <c r="H55" s="139" t="str">
        <f>_xlfn.XLOOKUP(F55,examTable!$A$2:$A$220,examTable!$F$2:$F$220)</f>
        <v>ธงชัย เตโชวิศาล</v>
      </c>
      <c r="I55" s="140" t="s">
        <v>814</v>
      </c>
    </row>
    <row r="56" customHeight="1" spans="1:9">
      <c r="A56" s="137">
        <v>111</v>
      </c>
      <c r="B56" s="138" t="str">
        <f>_xlfn.XLOOKUP(A56,examTable!$A$2:$A$220,examTable!$E$2:$E$220)</f>
        <v>519 161-165 : BUSINESS MATHEMATICS AND ANALYSIS (Lab)</v>
      </c>
      <c r="C56" s="139" t="str">
        <f>_xlfn.XLOOKUP(A56,examTable!$A$2:$A$220,examTable!$F$2:$F$220)</f>
        <v>วรรณภา พนิตสุภากมล</v>
      </c>
      <c r="D56" s="140" t="s">
        <v>814</v>
      </c>
      <c r="E56" s="141"/>
      <c r="F56" s="137">
        <v>112</v>
      </c>
      <c r="G56" s="138" t="str">
        <f>_xlfn.XLOOKUP(F56,examTable!$A$2:$A$220,examTable!$E$2:$E$220)</f>
        <v>511 321-2560-165 : PARTIAL DIFFERENTIAL EQUATIONS (ฟ้า)</v>
      </c>
      <c r="H56" s="139" t="str">
        <f>_xlfn.XLOOKUP(F56,examTable!$A$2:$A$220,examTable!$F$2:$F$220)</f>
        <v>สวรรยา ศกุนตะเสฐียร</v>
      </c>
      <c r="I56" s="140" t="s">
        <v>814</v>
      </c>
    </row>
    <row r="57" customHeight="1" spans="1:9">
      <c r="A57" s="137">
        <v>113</v>
      </c>
      <c r="B57" s="138" t="str">
        <f>_xlfn.XLOOKUP(A57,examTable!$A$2:$A$220,examTable!$E$2:$E$220)</f>
        <v>512 316-165 : PLANT TAXONOMY LABORATORY</v>
      </c>
      <c r="C57" s="139" t="str">
        <f>_xlfn.XLOOKUP(A57,examTable!$A$2:$A$220,examTable!$F$2:$F$220)</f>
        <v>พิรดา สุมานนท์</v>
      </c>
      <c r="D57" s="140" t="s">
        <v>814</v>
      </c>
      <c r="E57" s="141"/>
      <c r="F57" s="137">
        <v>114</v>
      </c>
      <c r="G57" s="138" t="str">
        <f>_xlfn.XLOOKUP(F57,examTable!$A$2:$A$220,examTable!$E$2:$E$220)</f>
        <v>519 361-165 : LINEAR PROGRAMMING (ส้ม)</v>
      </c>
      <c r="H57" s="139" t="str">
        <f>_xlfn.XLOOKUP(F57,examTable!$A$2:$A$220,examTable!$F$2:$F$220)</f>
        <v>ธีระเดช ไหลสุพรรณวงศ์</v>
      </c>
      <c r="I57" s="140" t="s">
        <v>814</v>
      </c>
    </row>
    <row r="58" customHeight="1" spans="1:9">
      <c r="A58" s="137">
        <v>115</v>
      </c>
      <c r="B58" s="138" t="str">
        <f>_xlfn.XLOOKUP(A58,examTable!$A$2:$A$220,examTable!$E$2:$E$220)</f>
        <v>513 321-2560 : PHYSICAL CHEMISTRY III</v>
      </c>
      <c r="C58" s="139" t="str">
        <f>_xlfn.XLOOKUP(A58,examTable!$A$2:$A$220,examTable!$F$2:$F$220)</f>
        <v>สุธินี เกิดเทพ</v>
      </c>
      <c r="D58" s="140" t="s">
        <v>814</v>
      </c>
      <c r="E58" s="141"/>
      <c r="F58" s="137">
        <v>116</v>
      </c>
      <c r="G58" s="138" t="str">
        <f>_xlfn.XLOOKUP(F58,examTable!$A$2:$A$220,examTable!$E$2:$E$220)</f>
        <v>514 201-165 : MECHANICS I (ฟ้า)</v>
      </c>
      <c r="H58" s="139" t="str">
        <f>_xlfn.XLOOKUP(F58,examTable!$A$2:$A$220,examTable!$F$2:$F$220)</f>
        <v>กรทิพย์ โต๊ะสิงห์</v>
      </c>
      <c r="I58" s="140" t="s">
        <v>814</v>
      </c>
    </row>
    <row r="59" customHeight="1" spans="1:9">
      <c r="A59" s="137">
        <v>117</v>
      </c>
      <c r="B59" s="138" t="str">
        <f>_xlfn.XLOOKUP(A59,examTable!$A$2:$A$220,examTable!$E$2:$E$220)</f>
        <v>514 107-2560-2561-165 : FUNDAMENTAL PHYSICS</v>
      </c>
      <c r="C59" s="139" t="str">
        <f>_xlfn.XLOOKUP(A59,examTable!$A$2:$A$220,examTable!$F$2:$F$220)</f>
        <v>ชวรัตน์ ศิริวงษ์</v>
      </c>
      <c r="D59" s="140" t="s">
        <v>814</v>
      </c>
      <c r="E59" s="141"/>
      <c r="F59" s="137">
        <v>118</v>
      </c>
      <c r="G59" s="138" t="str">
        <f>_xlfn.XLOOKUP(F59,examTable!$A$2:$A$220,examTable!$E$2:$E$220)</f>
        <v>515 323-165 : PREDICTIVE MODELING TECHNIQUES (Lab) openbook</v>
      </c>
      <c r="H59" s="139" t="str">
        <f>_xlfn.XLOOKUP(F59,examTable!$A$2:$A$220,examTable!$F$2:$F$220)</f>
        <v>ดุสิต ชัยประสิทธิกุล</v>
      </c>
      <c r="I59" s="140" t="s">
        <v>814</v>
      </c>
    </row>
    <row r="60" customHeight="1" spans="1:9">
      <c r="A60" s="137">
        <v>119</v>
      </c>
      <c r="B60" s="138" t="str">
        <f>_xlfn.XLOOKUP(A60,examTable!$A$2:$A$220,examTable!$E$2:$E$220)</f>
        <v>516 350-2560-165 : WATER POLLUTION AND CONTROLS</v>
      </c>
      <c r="C60" s="139" t="str">
        <f>_xlfn.XLOOKUP(A60,examTable!$A$2:$A$220,examTable!$F$2:$F$220)</f>
        <v>มัลลิกา ปัญญาคะโป</v>
      </c>
      <c r="D60" s="140" t="s">
        <v>814</v>
      </c>
      <c r="E60" s="141"/>
      <c r="F60" s="137">
        <v>120</v>
      </c>
      <c r="G60" s="138" t="str">
        <f>_xlfn.XLOOKUP(F60,examTable!$A$2:$A$220,examTable!$E$2:$E$220)</f>
        <v>518 311-2560 : MUSHROOM BIOLOGY (ฟ้า)</v>
      </c>
      <c r="H60" s="139" t="str">
        <f>_xlfn.XLOOKUP(F60,examTable!$A$2:$A$220,examTable!$F$2:$F$220)</f>
        <v>เอกพันธ์ บางยี่ขัน</v>
      </c>
      <c r="I60" s="140" t="s">
        <v>814</v>
      </c>
    </row>
    <row r="61" customHeight="1" spans="1:9">
      <c r="A61" s="137">
        <v>121</v>
      </c>
      <c r="B61" s="138" t="str">
        <f>_xlfn.XLOOKUP(A61,examTable!$A$2:$A$220,examTable!$E$2:$E$220)</f>
        <v>520 251-165 : HUMAN COMPUTER INTERACTION AND USER EXPERIENCE DESIGN</v>
      </c>
      <c r="C61" s="139" t="str">
        <f>_xlfn.XLOOKUP(A61,examTable!$A$2:$A$220,examTable!$F$2:$F$220)</f>
        <v>กรัญญา สิทธิสงวน</v>
      </c>
      <c r="D61" s="140" t="s">
        <v>814</v>
      </c>
      <c r="E61" s="141"/>
      <c r="F61" s="137">
        <v>122</v>
      </c>
      <c r="G61" s="138" t="str">
        <f>_xlfn.XLOOKUP(F61,examTable!$A$2:$A$220,examTable!$E$2:$E$220)</f>
        <v>513 482-2560 : SELECTED TOPICS IN PHYSICAL CHEMISTRY</v>
      </c>
      <c r="H61" s="139" t="str">
        <f>_xlfn.XLOOKUP(F61,examTable!$A$2:$A$220,examTable!$F$2:$F$220)</f>
        <v>ฉันทนา วัยนิพิฐพงษ์</v>
      </c>
      <c r="I61" s="140" t="s">
        <v>814</v>
      </c>
    </row>
    <row r="62" customHeight="1" spans="1:9">
      <c r="A62" s="137">
        <v>123</v>
      </c>
      <c r="B62" s="138" t="str">
        <f>_xlfn.XLOOKUP(A62,examTable!$A$2:$A$220,examTable!$E$2:$E$220)</f>
        <v>511 246-165 : LINEAR ALGEBRA WITH APPLICATION</v>
      </c>
      <c r="C62" s="139" t="str">
        <f>_xlfn.XLOOKUP(A62,examTable!$A$2:$A$220,examTable!$F$2:$F$220)</f>
        <v>ทิวดี มุสันเทียะ</v>
      </c>
      <c r="D62" s="140" t="s">
        <v>814</v>
      </c>
      <c r="E62" s="141"/>
      <c r="F62" s="137">
        <v>124</v>
      </c>
      <c r="G62" s="138" t="str">
        <f>_xlfn.XLOOKUP(F62,examTable!$A$2:$A$220,examTable!$E$2:$E$220)</f>
        <v>515 311-2560 : STATISTICAL INFERENCE II (ฟ้า)</v>
      </c>
      <c r="H62" s="139" t="str">
        <f>_xlfn.XLOOKUP(F62,examTable!$A$2:$A$220,examTable!$F$2:$F$220)</f>
        <v>อุดมลักษณ์ เกียรติชูพิพัฒน์</v>
      </c>
      <c r="I62" s="140" t="s">
        <v>814</v>
      </c>
    </row>
    <row r="63" customHeight="1" spans="1:9">
      <c r="A63" s="137">
        <v>125</v>
      </c>
      <c r="B63" s="138" t="str">
        <f>_xlfn.XLOOKUP(A63,examTable!$A$2:$A$220,examTable!$E$2:$E$220)</f>
        <v>511 341-2560-165 : ABSTRACT ALGEBRA I</v>
      </c>
      <c r="C63" s="139" t="str">
        <f>_xlfn.XLOOKUP(A63,examTable!$A$2:$A$220,examTable!$F$2:$F$220)</f>
        <v>สมพงค์ จิตต์มั่น</v>
      </c>
      <c r="D63" s="140" t="s">
        <v>814</v>
      </c>
      <c r="E63" s="141"/>
      <c r="F63" s="137">
        <v>126</v>
      </c>
      <c r="G63" s="138" t="str">
        <f>_xlfn.XLOOKUP(F63,examTable!$A$2:$A$220,examTable!$E$2:$E$220)</f>
        <v>512 233-2560-165 : INVERTEBRATE ZOOLOGY</v>
      </c>
      <c r="H63" s="139" t="str">
        <f>_xlfn.XLOOKUP(F63,examTable!$A$2:$A$220,examTable!$F$2:$F$220)</f>
        <v>วิวิชชุตา เดชรักษา</v>
      </c>
      <c r="I63" s="140" t="s">
        <v>814</v>
      </c>
    </row>
    <row r="64" customHeight="1" spans="1:9">
      <c r="A64" s="137">
        <v>127</v>
      </c>
      <c r="B64" s="138" t="str">
        <f>_xlfn.XLOOKUP(A64,examTable!$A$2:$A$220,examTable!$E$2:$E$220)</f>
        <v>514 102-55-2560-162-165 : GENERAL PHYSICS II (ฟ้า)</v>
      </c>
      <c r="C64" s="139" t="str">
        <f>_xlfn.XLOOKUP(A64,examTable!$A$2:$A$220,examTable!$F$2:$F$220)</f>
        <v>รุ่งรัตน์ วัดตาล</v>
      </c>
      <c r="D64" s="140" t="s">
        <v>814</v>
      </c>
      <c r="E64" s="141"/>
      <c r="F64" s="137">
        <v>128</v>
      </c>
      <c r="G64" s="138" t="str">
        <f>_xlfn.XLOOKUP(F64,examTable!$A$2:$A$220,examTable!$E$2:$E$220)</f>
        <v>513 311-2560-165 : INORGANIC CHEMISTRY I</v>
      </c>
      <c r="H64" s="139" t="str">
        <f>_xlfn.XLOOKUP(F64,examTable!$A$2:$A$220,examTable!$F$2:$F$220)</f>
        <v>กุลทัศน์ สุวัฒน์พิพัฒน์</v>
      </c>
      <c r="I64" s="140" t="s">
        <v>814</v>
      </c>
    </row>
    <row r="65" customHeight="1" spans="1:9">
      <c r="A65" s="137">
        <v>129</v>
      </c>
      <c r="B65" s="138" t="str">
        <f>_xlfn.XLOOKUP(A65,examTable!$A$2:$A$220,examTable!$E$2:$E$220)</f>
        <v>514 110-165 : GENERAL PHYSICS FOR MATERIALS ENGINEERS</v>
      </c>
      <c r="C65" s="139" t="str">
        <f>_xlfn.XLOOKUP(A65,examTable!$A$2:$A$220,examTable!$F$2:$F$220)</f>
        <v>วรภาส พรมเสน</v>
      </c>
      <c r="D65" s="140" t="s">
        <v>814</v>
      </c>
      <c r="E65" s="141"/>
      <c r="F65" s="137">
        <v>130</v>
      </c>
      <c r="G65" s="138" t="str">
        <f>_xlfn.XLOOKUP(F65,examTable!$A$2:$A$220,examTable!$E$2:$E$220)</f>
        <v>518 207-165 : BIOSAFETY IN MICROBIOLOGICAL LABORATORY</v>
      </c>
      <c r="H65" s="139" t="str">
        <f>_xlfn.XLOOKUP(F65,examTable!$A$2:$A$220,examTable!$F$2:$F$220)</f>
        <v>สุจินันท์ มีไล้</v>
      </c>
      <c r="I65" s="140" t="s">
        <v>814</v>
      </c>
    </row>
    <row r="66" customHeight="1" spans="1:9">
      <c r="A66" s="137">
        <v>131</v>
      </c>
      <c r="B66" s="138" t="str">
        <f>_xlfn.XLOOKUP(A66,examTable!$A$2:$A$220,examTable!$E$2:$E$220)</f>
        <v>514 112-165 : FUNDAMENTAL PHYSICS FOR INDUSTRIAL ENGINEERING</v>
      </c>
      <c r="C66" s="139" t="str">
        <f>_xlfn.XLOOKUP(A66,examTable!$A$2:$A$220,examTable!$F$2:$F$220)</f>
        <v>ดุจดาว จารุจิตติพันธ์</v>
      </c>
      <c r="D66" s="140" t="s">
        <v>814</v>
      </c>
      <c r="E66" s="141"/>
      <c r="F66" s="137">
        <v>132</v>
      </c>
      <c r="G66" s="138" t="str">
        <f>_xlfn.XLOOKUP(F66,examTable!$A$2:$A$220,examTable!$E$2:$E$220)</f>
        <v>516 270-2560-165 : ENVIRONMENTAL ECOLOGY openbook</v>
      </c>
      <c r="H66" s="139" t="str">
        <f>_xlfn.XLOOKUP(F66,examTable!$A$2:$A$220,examTable!$F$2:$F$220)</f>
        <v>พชรพล อินทุเวศ</v>
      </c>
      <c r="I66" s="140" t="s">
        <v>814</v>
      </c>
    </row>
    <row r="67" customHeight="1" spans="1:9">
      <c r="A67" s="137">
        <v>133</v>
      </c>
      <c r="B67" s="138" t="str">
        <f>_xlfn.XLOOKUP(A67,examTable!$A$2:$A$220,examTable!$E$2:$E$220)</f>
        <v>517 341-160 : COMPUTER NETWORK ARCHITECTURE AND TECHNOLOGY / 520 342-2560 (Lect)</v>
      </c>
      <c r="C67" s="139" t="str">
        <f>_xlfn.XLOOKUP(A67,examTable!$A$2:$A$220,examTable!$F$2:$F$220)</f>
        <v>เสฐลัทธ์ รอดเหตุภัย</v>
      </c>
      <c r="D67" s="140" t="s">
        <v>814</v>
      </c>
      <c r="E67" s="141"/>
      <c r="F67" s="137">
        <v>134</v>
      </c>
      <c r="G67" s="138" t="str">
        <f>_xlfn.XLOOKUP(F67,examTable!$A$2:$A$220,examTable!$E$2:$E$220)</f>
        <v>517 431-165 : MACHINE LEARNING / 517 482-2560 / 520 482-160</v>
      </c>
      <c r="H67" s="139" t="str">
        <f>_xlfn.XLOOKUP(F67,examTable!$A$2:$A$220,examTable!$F$2:$F$220)</f>
        <v>ปัญญนัท อ้นพงษ์</v>
      </c>
      <c r="I67" s="140" t="s">
        <v>814</v>
      </c>
    </row>
    <row r="68" customHeight="1" spans="1:9">
      <c r="A68" s="137">
        <v>135</v>
      </c>
      <c r="B68" s="138" t="str">
        <f>_xlfn.XLOOKUP(A68,examTable!$A$2:$A$220,examTable!$E$2:$E$220)</f>
        <v>511 246-165 : LINEAR ALGEBRA WITH APPLICATION (Lab)</v>
      </c>
      <c r="C68" s="139" t="str">
        <f>_xlfn.XLOOKUP(A68,examTable!$A$2:$A$220,examTable!$F$2:$F$220)</f>
        <v>ทิวดี มุสันเทียะ</v>
      </c>
      <c r="D68" s="140" t="s">
        <v>814</v>
      </c>
      <c r="E68" s="141"/>
      <c r="F68" s="137">
        <v>136</v>
      </c>
      <c r="G68" s="138" t="str">
        <f>_xlfn.XLOOKUP(F68,examTable!$A$2:$A$220,examTable!$E$2:$E$220)</f>
        <v>513 411-2560 : ADVANCED INORGANIC CHEMISTRY I</v>
      </c>
      <c r="H68" s="139" t="str">
        <f>_xlfn.XLOOKUP(F68,examTable!$A$2:$A$220,examTable!$F$2:$F$220)</f>
        <v>กุลทัศน์ สุวัฒน์พิพัฒน์</v>
      </c>
      <c r="I68" s="140" t="s">
        <v>814</v>
      </c>
    </row>
    <row r="69" customHeight="1" spans="1:9">
      <c r="A69" s="137">
        <v>137</v>
      </c>
      <c r="B69" s="138" t="str">
        <f>_xlfn.XLOOKUP(A69,examTable!$A$2:$A$220,examTable!$E$2:$E$220)</f>
        <v>SU 131-162 : INTRODUCTION TO INFORMATION MANAGEMENT / SU 147-166 (Lab)</v>
      </c>
      <c r="C69" s="139" t="str">
        <f>_xlfn.XLOOKUP(A69,examTable!$A$2:$A$220,examTable!$F$2:$F$220)</f>
        <v>ชนกานต์ สังข์บุญชู</v>
      </c>
      <c r="D69" s="140" t="s">
        <v>814</v>
      </c>
      <c r="E69" s="141"/>
      <c r="F69" s="137">
        <v>138</v>
      </c>
      <c r="G69" s="138" t="str">
        <f>_xlfn.XLOOKUP(F69,examTable!$A$2:$A$220,examTable!$E$2:$E$220)</f>
        <v>511 331-2560 : MATHEMATICAL ANALYSIS (ฟ้า)</v>
      </c>
      <c r="H69" s="139" t="str">
        <f>_xlfn.XLOOKUP(F69,examTable!$A$2:$A$220,examTable!$F$2:$F$220)</f>
        <v>ปรีชญา สัญญฑิตย์</v>
      </c>
      <c r="I69" s="140" t="s">
        <v>814</v>
      </c>
    </row>
    <row r="70" customHeight="1" spans="1:9">
      <c r="A70" s="137">
        <v>139</v>
      </c>
      <c r="B70" s="138" t="str">
        <f>_xlfn.XLOOKUP(A70,examTable!$A$2:$A$220,examTable!$E$2:$E$220)</f>
        <v>513 110-165 : ESSENTIAL CHEMISTRY FOR CHEMICAL ENGINEERS</v>
      </c>
      <c r="C70" s="139" t="str">
        <f>_xlfn.XLOOKUP(A70,examTable!$A$2:$A$220,examTable!$F$2:$F$220)</f>
        <v>ศิริรัตน์ ชูสกุลเกรียง</v>
      </c>
      <c r="D70" s="140" t="s">
        <v>814</v>
      </c>
      <c r="E70" s="141"/>
      <c r="F70" s="137">
        <v>140</v>
      </c>
      <c r="G70" s="138" t="str">
        <f>_xlfn.XLOOKUP(F70,examTable!$A$2:$A$220,examTable!$E$2:$E$220)</f>
        <v>511 331-165 : MATHEMATICAL ANALYSIS I</v>
      </c>
      <c r="H70" s="139" t="str">
        <f>_xlfn.XLOOKUP(F70,examTable!$A$2:$A$220,examTable!$F$2:$F$220)</f>
        <v>สมเจตน์ ชัยยะ</v>
      </c>
      <c r="I70" s="140" t="s">
        <v>814</v>
      </c>
    </row>
    <row r="71" customHeight="1" spans="1:9">
      <c r="A71" s="137">
        <v>141</v>
      </c>
      <c r="B71" s="138" t="str">
        <f>_xlfn.XLOOKUP(A71,examTable!$A$2:$A$220,examTable!$E$2:$E$220)</f>
        <v>514 204-165 : GENERAL PHYSICS III (ฟ้า)</v>
      </c>
      <c r="C71" s="139" t="str">
        <f>_xlfn.XLOOKUP(A71,examTable!$A$2:$A$220,examTable!$F$2:$F$220)</f>
        <v>อรทัย เขียวพุ่ม</v>
      </c>
      <c r="D71" s="140" t="s">
        <v>814</v>
      </c>
      <c r="E71" s="141"/>
      <c r="F71" s="137">
        <v>142</v>
      </c>
      <c r="G71" s="138" t="str">
        <f>_xlfn.XLOOKUP(F71,examTable!$A$2:$A$220,examTable!$E$2:$E$220)</f>
        <v>512 234-2560-165 : INVERTEBRATE ZOOLOGY LABORATORY</v>
      </c>
      <c r="H71" s="139" t="str">
        <f>_xlfn.XLOOKUP(F71,examTable!$A$2:$A$220,examTable!$F$2:$F$220)</f>
        <v>วิวิชชุตา เดชรักษา</v>
      </c>
      <c r="I71" s="140" t="s">
        <v>814</v>
      </c>
    </row>
    <row r="72" customHeight="1" spans="1:9">
      <c r="A72" s="137">
        <v>143</v>
      </c>
      <c r="B72" s="138" t="str">
        <f>_xlfn.XLOOKUP(A72,examTable!$A$2:$A$220,examTable!$E$2:$E$220)</f>
        <v>513 100-2560-165 : GENERAL CHEMISTRY</v>
      </c>
      <c r="C72" s="139" t="str">
        <f>_xlfn.XLOOKUP(A72,examTable!$A$2:$A$220,examTable!$F$2:$F$220)</f>
        <v>ศิริรัตน์ ชูสกุลเกรียง</v>
      </c>
      <c r="D72" s="140" t="s">
        <v>814</v>
      </c>
      <c r="E72" s="141"/>
      <c r="F72" s="137">
        <v>144</v>
      </c>
      <c r="G72" s="138" t="str">
        <f>_xlfn.XLOOKUP(F72,examTable!$A$2:$A$220,examTable!$E$2:$E$220)</f>
        <v>513 221-2560 : PHYSICAL CHEMISTRY I</v>
      </c>
      <c r="H72" s="139" t="str">
        <f>_xlfn.XLOOKUP(F72,examTable!$A$2:$A$220,examTable!$F$2:$F$220)</f>
        <v>พรทิพย์ ทองยิ่ง</v>
      </c>
      <c r="I72" s="140" t="s">
        <v>814</v>
      </c>
    </row>
    <row r="73" customHeight="1" spans="1:9">
      <c r="A73" s="137">
        <v>145</v>
      </c>
      <c r="B73" s="138" t="str">
        <f>_xlfn.XLOOKUP(A73,examTable!$A$2:$A$220,examTable!$E$2:$E$220)</f>
        <v>517 321-2560-165 : PRINCIPLES OF PROGRAMMING LANGUAGES openbook</v>
      </c>
      <c r="C73" s="139" t="str">
        <f>_xlfn.XLOOKUP(A73,examTable!$A$2:$A$220,examTable!$F$2:$F$220)</f>
        <v>ทัศนวรรณ ศูนย์กลาง</v>
      </c>
      <c r="D73" s="140" t="s">
        <v>814</v>
      </c>
      <c r="E73" s="141"/>
      <c r="F73" s="137">
        <v>146</v>
      </c>
      <c r="G73" s="138" t="str">
        <f>_xlfn.XLOOKUP(F73,examTable!$A$2:$A$220,examTable!$E$2:$E$220)</f>
        <v>515 322-165 : EXPLORATORY DATA ANALYSIS AND DATA VISUALIZATION (Lab)</v>
      </c>
      <c r="H73" s="139" t="str">
        <f>_xlfn.XLOOKUP(F73,examTable!$A$2:$A$220,examTable!$F$2:$F$220)</f>
        <v>พัณณิ์ภาริษา ของทิพย์</v>
      </c>
      <c r="I73" s="140" t="s">
        <v>814</v>
      </c>
    </row>
    <row r="74" customHeight="1" spans="1:9">
      <c r="A74" s="137">
        <v>147</v>
      </c>
      <c r="B74" s="138" t="str">
        <f>_xlfn.XLOOKUP(A74,examTable!$A$2:$A$220,examTable!$E$2:$E$220)</f>
        <v>517 341-160 : COMPUTER NETWORK ARCHITECTURE AND TECHNOLOGY / 520 342-2560 (Lab)</v>
      </c>
      <c r="C74" s="139" t="str">
        <f>_xlfn.XLOOKUP(A74,examTable!$A$2:$A$220,examTable!$F$2:$F$220)</f>
        <v>เสฐลัทธ์ รอดเหตุภัย</v>
      </c>
      <c r="D74" s="140" t="s">
        <v>814</v>
      </c>
      <c r="E74" s="141"/>
      <c r="F74" s="137">
        <v>148</v>
      </c>
      <c r="G74" s="138" t="str">
        <f>_xlfn.XLOOKUP(F74,examTable!$A$2:$A$220,examTable!$E$2:$E$220)</f>
        <v>512 362-2560 : DNA MARKERS AND APPLICATIONS</v>
      </c>
      <c r="H74" s="139" t="str">
        <f>_xlfn.XLOOKUP(F74,examTable!$A$2:$A$220,examTable!$F$2:$F$220)</f>
        <v>ปรารถนา เผือกวิไล</v>
      </c>
      <c r="I74" s="140" t="s">
        <v>814</v>
      </c>
    </row>
    <row r="75" customHeight="1" spans="1:9">
      <c r="A75" s="137">
        <v>149</v>
      </c>
      <c r="B75" s="138" t="str">
        <f>_xlfn.XLOOKUP(A75,examTable!$A$2:$A$220,examTable!$E$2:$E$220)</f>
        <v>515 203-165 : STATISTICS FOR BIOLOGICAL SCIENTISTS I (Lab)</v>
      </c>
      <c r="C75" s="139" t="str">
        <f>_xlfn.XLOOKUP(A75,examTable!$A$2:$A$220,examTable!$F$2:$F$220)</f>
        <v>วิภาวรรณ เล้าอรุณ</v>
      </c>
      <c r="D75" s="140" t="s">
        <v>814</v>
      </c>
      <c r="E75" s="141"/>
      <c r="F75" s="137">
        <v>150</v>
      </c>
      <c r="G75" s="138" t="str">
        <f>_xlfn.XLOOKUP(F75,examTable!$A$2:$A$220,examTable!$E$2:$E$220)</f>
        <v>512 200-165 : STRUCTURES AND FUNCTIONS OF LIFE</v>
      </c>
      <c r="H75" s="139" t="str">
        <f>_xlfn.XLOOKUP(F75,examTable!$A$2:$A$220,examTable!$F$2:$F$220)</f>
        <v>ชลกรานต์ อวยจินดา</v>
      </c>
      <c r="I75" s="140" t="s">
        <v>814</v>
      </c>
    </row>
    <row r="76" customHeight="1" spans="1:9">
      <c r="A76" s="137">
        <v>151</v>
      </c>
      <c r="B76" s="138" t="str">
        <f>_xlfn.XLOOKUP(A76,examTable!$A$2:$A$220,examTable!$E$2:$E$220)</f>
        <v>517 222-165 : COMPUTER ORGANIZATION AND ARCHITECTURE (ฟ้า)</v>
      </c>
      <c r="C76" s="139" t="str">
        <f>_xlfn.XLOOKUP(A76,examTable!$A$2:$A$220,examTable!$F$2:$F$220)</f>
        <v>อภิเษก หงษ์วิทยากร</v>
      </c>
      <c r="D76" s="140" t="s">
        <v>814</v>
      </c>
      <c r="E76" s="141"/>
      <c r="F76" s="137">
        <v>152</v>
      </c>
      <c r="G76" s="138" t="str">
        <f>_xlfn.XLOOKUP(F76,examTable!$A$2:$A$220,examTable!$E$2:$E$220)</f>
        <v>513 101-2560-165 : GENERAL CHEMISTRY I</v>
      </c>
      <c r="H76" s="139" t="str">
        <f>_xlfn.XLOOKUP(F76,examTable!$A$2:$A$220,examTable!$F$2:$F$220)</f>
        <v>กุลทัศน์ สุวัฒน์พิพัฒน์</v>
      </c>
      <c r="I76" s="140" t="s">
        <v>814</v>
      </c>
    </row>
    <row r="77" customHeight="1" spans="1:9">
      <c r="A77" s="137">
        <v>153</v>
      </c>
      <c r="B77" s="138" t="str">
        <f>_xlfn.XLOOKUP(A77,examTable!$A$2:$A$220,examTable!$E$2:$E$220)</f>
        <v>513 101-165 : GENERAL CHEMISTRY I</v>
      </c>
      <c r="C77" s="139" t="str">
        <f>_xlfn.XLOOKUP(A77,examTable!$A$2:$A$220,examTable!$F$2:$F$220)</f>
        <v>กุลทัศน์ สุวัฒน์พิพัฒน์</v>
      </c>
      <c r="D77" s="140" t="s">
        <v>814</v>
      </c>
      <c r="E77" s="141"/>
      <c r="F77" s="137">
        <v>154</v>
      </c>
      <c r="G77" s="138" t="str">
        <f>_xlfn.XLOOKUP(F77,examTable!$A$2:$A$220,examTable!$E$2:$E$220)</f>
        <v>511 251-162-165 : NUMBER THEORY I (ฟ้า)</v>
      </c>
      <c r="H77" s="139" t="str">
        <f>_xlfn.XLOOKUP(F77,examTable!$A$2:$A$220,examTable!$F$2:$F$220)</f>
        <v>ประพันธ์พงศ์ พงศ์ศรีเอี่ยม</v>
      </c>
      <c r="I77" s="140" t="s">
        <v>814</v>
      </c>
    </row>
    <row r="78" customHeight="1" spans="1:9">
      <c r="A78" s="137">
        <v>155</v>
      </c>
      <c r="B78" s="138" t="str">
        <f>_xlfn.XLOOKUP(A78,examTable!$A$2:$A$220,examTable!$E$2:$E$220)</f>
        <v>513 106-165 : BASIC CHEMISTRY</v>
      </c>
      <c r="C78" s="139" t="str">
        <f>_xlfn.XLOOKUP(A78,examTable!$A$2:$A$220,examTable!$F$2:$F$220)</f>
        <v>สุชารัตน์ สนองเกียรติ</v>
      </c>
      <c r="D78" s="140" t="s">
        <v>814</v>
      </c>
      <c r="E78" s="141"/>
      <c r="F78" s="137">
        <v>156</v>
      </c>
      <c r="G78" s="138" t="str">
        <f>_xlfn.XLOOKUP(F78,examTable!$A$2:$A$220,examTable!$E$2:$E$220)</f>
        <v>513 108-165 : GENERAL CHEMISTRY FOR PHARMACY STUDENTS</v>
      </c>
      <c r="H78" s="139" t="str">
        <f>_xlfn.XLOOKUP(F78,examTable!$A$2:$A$220,examTable!$F$2:$F$220)</f>
        <v>ณัฐวรรณ วรวรรโณทัย</v>
      </c>
      <c r="I78" s="140" t="s">
        <v>814</v>
      </c>
    </row>
    <row r="79" customHeight="1" spans="1:9">
      <c r="A79" s="137">
        <v>157</v>
      </c>
      <c r="B79" s="138" t="str">
        <f>_xlfn.XLOOKUP(A79,examTable!$A$2:$A$220,examTable!$E$2:$E$220)</f>
        <v>514 114-165 : ESSENTIAL PHYSICS FOR CHEMICAL ENGINEERS</v>
      </c>
      <c r="C79" s="139" t="str">
        <f>_xlfn.XLOOKUP(A79,examTable!$A$2:$A$220,examTable!$F$2:$F$220)</f>
        <v>กิตติยาพร สิงห์สัมพันธ์</v>
      </c>
      <c r="D79" s="140" t="s">
        <v>814</v>
      </c>
      <c r="E79" s="141"/>
      <c r="F79" s="137">
        <v>158</v>
      </c>
      <c r="G79" s="138" t="str">
        <f>_xlfn.XLOOKUP(F79,examTable!$A$2:$A$220,examTable!$E$2:$E$220)</f>
        <v>513 352-2560 : ADVANCED ORGANIC CHEMISTRY II (ฟ้า)</v>
      </c>
      <c r="H79" s="139" t="str">
        <f>_xlfn.XLOOKUP(F79,examTable!$A$2:$A$220,examTable!$F$2:$F$220)</f>
        <v>มูฮำหมัด นิยมเดชา</v>
      </c>
      <c r="I79" s="140" t="s">
        <v>814</v>
      </c>
    </row>
    <row r="80" customHeight="1" spans="1:9">
      <c r="A80" s="137">
        <v>159</v>
      </c>
      <c r="B80" s="138" t="str">
        <f>_xlfn.XLOOKUP(A80,examTable!$A$2:$A$220,examTable!$E$2:$E$220)</f>
        <v>515 351-165 : FUNDAMENTALS OF ACTUARIAL MATHEMATICS (ส้ม)</v>
      </c>
      <c r="C80" s="139" t="str">
        <f>_xlfn.XLOOKUP(A80,examTable!$A$2:$A$220,examTable!$F$2:$F$220)</f>
        <v>อดิศักดิ์ เม้ามีศรี</v>
      </c>
      <c r="D80" s="140" t="s">
        <v>814</v>
      </c>
      <c r="E80" s="141"/>
      <c r="F80" s="137">
        <v>160</v>
      </c>
      <c r="G80" s="138" t="str">
        <f>_xlfn.XLOOKUP(F80,examTable!$A$2:$A$220,examTable!$E$2:$E$220)</f>
        <v>514 356-2560 : INTRODUCTION TO MATERIALS CHARACTERIZATION (ฟ้า)</v>
      </c>
      <c r="H80" s="139" t="str">
        <f>_xlfn.XLOOKUP(F80,examTable!$A$2:$A$220,examTable!$F$2:$F$220)</f>
        <v>กิตติยาพร สิงห์สัมพันธ์</v>
      </c>
      <c r="I80" s="140" t="s">
        <v>814</v>
      </c>
    </row>
    <row r="81" customHeight="1" spans="1:9">
      <c r="A81" s="137">
        <v>161</v>
      </c>
      <c r="B81" s="138" t="str">
        <f>_xlfn.XLOOKUP(A81,examTable!$A$2:$A$220,examTable!$E$2:$E$220)</f>
        <v>522 251-2561-165 : DATABASE SYSTEMS FOR DATA SCIENCE</v>
      </c>
      <c r="C81" s="139" t="str">
        <f>_xlfn.XLOOKUP(A81,examTable!$A$2:$A$220,examTable!$F$2:$F$220)</f>
        <v>อภิญญา ธาตุสุวรรณ์</v>
      </c>
      <c r="D81" s="140" t="s">
        <v>814</v>
      </c>
      <c r="E81" s="141"/>
      <c r="F81" s="137">
        <v>162</v>
      </c>
      <c r="G81" s="138" t="str">
        <f>_xlfn.XLOOKUP(F81,examTable!$A$2:$A$220,examTable!$E$2:$E$220)</f>
        <v>520 342-165 : SERVER SIDE WEB PROGRAMMING</v>
      </c>
      <c r="H81" s="139" t="str">
        <f>_xlfn.XLOOKUP(F81,examTable!$A$2:$A$220,examTable!$F$2:$F$220)</f>
        <v>ณัฐโชติ พรหมฤทธิ์</v>
      </c>
      <c r="I81" s="140" t="s">
        <v>814</v>
      </c>
    </row>
    <row r="82" customHeight="1" spans="1:9">
      <c r="A82" s="137">
        <v>163</v>
      </c>
      <c r="B82" s="138" t="str">
        <f>_xlfn.XLOOKUP(A82,examTable!$A$2:$A$220,examTable!$E$2:$E$220)</f>
        <v>519 391-165 : RESEARCH METHODOLOGY openbook</v>
      </c>
      <c r="C82" s="139" t="str">
        <f>_xlfn.XLOOKUP(A82,examTable!$A$2:$A$220,examTable!$F$2:$F$220)</f>
        <v>วรรณภา พนิตสุภากมล</v>
      </c>
      <c r="D82" s="140" t="s">
        <v>814</v>
      </c>
      <c r="E82" s="141"/>
      <c r="F82" s="137">
        <v>164</v>
      </c>
      <c r="G82" s="138" t="str">
        <f>_xlfn.XLOOKUP(F82,examTable!$A$2:$A$220,examTable!$E$2:$E$220)</f>
        <v>520 487-2560 : SELECTED TOPICS IN INFORMATION TECHNOLOGY VII</v>
      </c>
      <c r="H82" s="139" t="str">
        <f>_xlfn.XLOOKUP(F82,examTable!$A$2:$A$220,examTable!$F$2:$F$220)</f>
        <v>ปานใจ ธารทัศนวงศ์</v>
      </c>
      <c r="I82" s="140" t="s">
        <v>814</v>
      </c>
    </row>
    <row r="83" customHeight="1" spans="1:9">
      <c r="A83" s="137">
        <v>165</v>
      </c>
      <c r="B83" s="138" t="str">
        <f>_xlfn.XLOOKUP(A83,examTable!$A$2:$A$220,examTable!$E$2:$E$220)</f>
        <v>520 342-165 : SERVER SIDE WEB PROGRAMMING</v>
      </c>
      <c r="C83" s="139" t="str">
        <f>_xlfn.XLOOKUP(A83,examTable!$A$2:$A$220,examTable!$F$2:$F$220)</f>
        <v>ณัฐโชติ พรหมฤทธิ์</v>
      </c>
      <c r="D83" s="140" t="s">
        <v>814</v>
      </c>
      <c r="E83" s="141"/>
      <c r="F83" s="137">
        <v>166</v>
      </c>
      <c r="G83" s="138" t="str">
        <f>_xlfn.XLOOKUP(F83,examTable!$A$2:$A$220,examTable!$E$2:$E$220)</f>
        <v>511 351-2560-165 : INTRODUCTION TO GRAPH THEORY</v>
      </c>
      <c r="H83" s="139" t="str">
        <f>_xlfn.XLOOKUP(F83,examTable!$A$2:$A$220,examTable!$F$2:$F$220)</f>
        <v>ประพันธ์พงศ์ พงศ์ศรีเอี่ยม</v>
      </c>
      <c r="I83" s="140" t="s">
        <v>814</v>
      </c>
    </row>
    <row r="84" customHeight="1" spans="1:9">
      <c r="A84" s="137">
        <v>167</v>
      </c>
      <c r="B84" s="138" t="str">
        <f>_xlfn.XLOOKUP(A84,examTable!$A$2:$A$220,examTable!$E$2:$E$220)</f>
        <v>514 302-165 : INTRODUCTION TO SOLID STATE PHYSICS (ฟ้า)</v>
      </c>
      <c r="C84" s="139" t="str">
        <f>_xlfn.XLOOKUP(A84,examTable!$A$2:$A$220,examTable!$F$2:$F$220)</f>
        <v>มนตรี เอี่ยมพนากิจ</v>
      </c>
      <c r="D84" s="140" t="s">
        <v>814</v>
      </c>
      <c r="E84" s="141"/>
      <c r="F84" s="137">
        <v>168</v>
      </c>
      <c r="G84" s="138" t="str">
        <f>_xlfn.XLOOKUP(F84,examTable!$A$2:$A$220,examTable!$E$2:$E$220)</f>
        <v>512 236-2560-165 : VERTEBRATE ZOOLOGY LABORATORY</v>
      </c>
      <c r="H84" s="139" t="str">
        <f>_xlfn.XLOOKUP(F84,examTable!$A$2:$A$220,examTable!$F$2:$F$220)</f>
        <v>กัมปนาท ธาราภูมิ</v>
      </c>
      <c r="I84" s="140" t="s">
        <v>814</v>
      </c>
    </row>
    <row r="85" customHeight="1" spans="1:9">
      <c r="A85" s="137">
        <v>169</v>
      </c>
      <c r="B85" s="138" t="str">
        <f>_xlfn.XLOOKUP(A85,examTable!$A$2:$A$220,examTable!$E$2:$E$220)</f>
        <v>513 251-2560-165 : ORGANIC CHEMISTRY I</v>
      </c>
      <c r="C85" s="139" t="str">
        <f>_xlfn.XLOOKUP(A85,examTable!$A$2:$A$220,examTable!$F$2:$F$220)</f>
        <v>กนกอร ระย้านิล</v>
      </c>
      <c r="D85" s="140" t="s">
        <v>814</v>
      </c>
      <c r="E85" s="141"/>
      <c r="F85" s="137">
        <v>170</v>
      </c>
      <c r="G85" s="138" t="str">
        <f>_xlfn.XLOOKUP(F85,examTable!$A$2:$A$220,examTable!$E$2:$E$220)</f>
        <v>515 231-165 : PROBABILITY AND STOCHASTIC PROCESS</v>
      </c>
      <c r="H85" s="139" t="str">
        <f>_xlfn.XLOOKUP(F85,examTable!$A$2:$A$220,examTable!$F$2:$F$220)</f>
        <v>ชนกานต์ สังข์บุญชู</v>
      </c>
      <c r="I85" s="140" t="s">
        <v>814</v>
      </c>
    </row>
    <row r="86" customHeight="1" spans="1:9">
      <c r="A86" s="137">
        <v>171</v>
      </c>
      <c r="B86" s="138" t="str">
        <f>_xlfn.XLOOKUP(A86,examTable!$A$2:$A$220,examTable!$E$2:$E$220)</f>
        <v>518 211-165 : APPLIED MYCOLOGY</v>
      </c>
      <c r="C86" s="139" t="str">
        <f>_xlfn.XLOOKUP(A86,examTable!$A$2:$A$220,examTable!$F$2:$F$220)</f>
        <v>เอกพันธ์ บางยี่ขัน</v>
      </c>
      <c r="D86" s="140" t="s">
        <v>814</v>
      </c>
      <c r="E86" s="141"/>
      <c r="F86" s="137">
        <v>172</v>
      </c>
      <c r="G86" s="138" t="str">
        <f>_xlfn.XLOOKUP(F86,examTable!$A$2:$A$220,examTable!$E$2:$E$220)</f>
        <v>520 442-160 : WEB SERVICE (Lab)</v>
      </c>
      <c r="H86" s="139" t="str">
        <f>_xlfn.XLOOKUP(F86,examTable!$A$2:$A$220,examTable!$F$2:$F$220)</f>
        <v>วัสรา รอดเหตุภัย</v>
      </c>
      <c r="I86" s="140" t="s">
        <v>814</v>
      </c>
    </row>
    <row r="87" customHeight="1" spans="1:9">
      <c r="A87" s="137">
        <v>173</v>
      </c>
      <c r="B87" s="138" t="str">
        <f>_xlfn.XLOOKUP(A87,examTable!$A$2:$A$220,examTable!$E$2:$E$220)</f>
        <v>520 212-2560 : LAWS AND ETHICS IN INFORMATION TECHNOLOGY / 522 301-2561-165</v>
      </c>
      <c r="C87" s="139" t="str">
        <f>_xlfn.XLOOKUP(A87,examTable!$A$2:$A$220,examTable!$F$2:$F$220)</f>
        <v>กรัญญา สิทธิสงวน</v>
      </c>
      <c r="D87" s="140" t="s">
        <v>814</v>
      </c>
      <c r="E87" s="141"/>
      <c r="F87" s="137">
        <v>174</v>
      </c>
      <c r="G87" s="138" t="str">
        <f>_xlfn.XLOOKUP(F87,examTable!$A$2:$A$220,examTable!$E$2:$E$220)</f>
        <v>513 103-2560-165 : GENERAL CHEMISTRY LABORATORY I</v>
      </c>
      <c r="H87" s="139" t="str">
        <f>_xlfn.XLOOKUP(F87,examTable!$A$2:$A$220,examTable!$F$2:$F$220)</f>
        <v>สุนทร สุวอเขียว</v>
      </c>
      <c r="I87" s="140" t="s">
        <v>814</v>
      </c>
    </row>
    <row r="88" customHeight="1" spans="1:9">
      <c r="A88" s="137">
        <v>175</v>
      </c>
      <c r="B88" s="138" t="str">
        <f>_xlfn.XLOOKUP(A88,examTable!$A$2:$A$220,examTable!$E$2:$E$220)</f>
        <v>513 103-165 : GENERAL CHEMISTRY LABORATORY I</v>
      </c>
      <c r="C88" s="139" t="str">
        <f>_xlfn.XLOOKUP(A88,examTable!$A$2:$A$220,examTable!$F$2:$F$220)</f>
        <v>สุนทร สุวอเขียว</v>
      </c>
      <c r="D88" s="140" t="s">
        <v>814</v>
      </c>
      <c r="E88" s="141"/>
      <c r="F88" s="137">
        <v>176</v>
      </c>
      <c r="G88" s="138" t="str">
        <f>_xlfn.XLOOKUP(F88,examTable!$A$2:$A$220,examTable!$E$2:$E$220)</f>
        <v>513 107-2560-165 : BASIC CHEMISTRY LABORATORY</v>
      </c>
      <c r="H88" s="139" t="str">
        <f>_xlfn.XLOOKUP(F88,examTable!$A$2:$A$220,examTable!$F$2:$F$220)</f>
        <v>สุชารัตน์ สนองเกียรติ</v>
      </c>
      <c r="I88" s="140" t="s">
        <v>814</v>
      </c>
    </row>
    <row r="89" customHeight="1" spans="1:9">
      <c r="A89" s="137">
        <v>177</v>
      </c>
      <c r="B89" s="138" t="str">
        <f>_xlfn.XLOOKUP(A89,examTable!$A$2:$A$220,examTable!$E$2:$E$220)</f>
        <v>513 341-2560-165 : BIOCHEMISTRY I</v>
      </c>
      <c r="C89" s="139" t="str">
        <f>_xlfn.XLOOKUP(A89,examTable!$A$2:$A$220,examTable!$F$2:$F$220)</f>
        <v>ชนากานต์ ทองสุข</v>
      </c>
      <c r="D89" s="140" t="s">
        <v>814</v>
      </c>
      <c r="E89" s="141"/>
      <c r="F89" s="137">
        <v>178</v>
      </c>
      <c r="G89" s="138" t="str">
        <f>_xlfn.XLOOKUP(F89,examTable!$A$2:$A$220,examTable!$E$2:$E$220)</f>
        <v>511 122-167 : GAMES AND MATHEMATICAL SKILLS DEVELOPMENT</v>
      </c>
      <c r="H89" s="139" t="str">
        <f>_xlfn.XLOOKUP(F89,examTable!$A$2:$A$220,examTable!$F$2:$F$220)</f>
        <v>เฉลิมพงศ์ วรวรรโณทัย</v>
      </c>
      <c r="I89" s="140" t="s">
        <v>814</v>
      </c>
    </row>
    <row r="90" customHeight="1" spans="1:9">
      <c r="A90" s="137">
        <v>179</v>
      </c>
      <c r="B90" s="138" t="str">
        <f>_xlfn.XLOOKUP(A90,examTable!$A$2:$A$220,examTable!$E$2:$E$220)</f>
        <v>514 231-165 : PHYSICS DATA FOR SCIENTISTS</v>
      </c>
      <c r="C90" s="139" t="str">
        <f>_xlfn.XLOOKUP(A90,examTable!$A$2:$A$220,examTable!$F$2:$F$220)</f>
        <v>อิสระ มะศิริ</v>
      </c>
      <c r="D90" s="140" t="s">
        <v>814</v>
      </c>
      <c r="E90" s="141"/>
      <c r="F90" s="137">
        <v>180</v>
      </c>
      <c r="G90" s="138" t="str">
        <f>_xlfn.XLOOKUP(F90,examTable!$A$2:$A$220,examTable!$E$2:$E$220)</f>
        <v>515 103-162 : PROBABILITY AND STATISTICS</v>
      </c>
      <c r="H90" s="139" t="str">
        <f>_xlfn.XLOOKUP(F90,examTable!$A$2:$A$220,examTable!$F$2:$F$220)</f>
        <v>อดิศักดิ์ เม้ามีศรี</v>
      </c>
      <c r="I90" s="140" t="s">
        <v>814</v>
      </c>
    </row>
    <row r="91" customHeight="1" spans="1:9">
      <c r="A91" s="137">
        <v>181</v>
      </c>
      <c r="B91" s="138" t="str">
        <f>_xlfn.XLOOKUP(A91,examTable!$A$2:$A$220,examTable!$E$2:$E$220)</f>
        <v>521 301-162 : ELECTRICITY and MAGNETISM (ฟ้า)</v>
      </c>
      <c r="C91" s="139" t="str">
        <f>_xlfn.XLOOKUP(A91,examTable!$A$2:$A$220,examTable!$F$2:$F$220)</f>
        <v>สุมามาลย์ บันเทิง</v>
      </c>
      <c r="D91" s="140" t="s">
        <v>814</v>
      </c>
      <c r="E91" s="141"/>
      <c r="F91" s="137">
        <v>182</v>
      </c>
      <c r="G91" s="138" t="str">
        <f>_xlfn.XLOOKUP(F91,examTable!$A$2:$A$220,examTable!$E$2:$E$220)</f>
        <v>517 211-2560-165 : DATA STRUCTURES (Lect)</v>
      </c>
      <c r="H91" s="139" t="str">
        <f>_xlfn.XLOOKUP(F91,examTable!$A$2:$A$220,examTable!$F$2:$F$220)</f>
        <v>วัสรา รอดเหตุภัย</v>
      </c>
      <c r="I91" s="140" t="s">
        <v>814</v>
      </c>
    </row>
    <row r="92" customHeight="1" spans="1:9">
      <c r="A92" s="137">
        <v>183</v>
      </c>
      <c r="B92" s="138" t="str">
        <f>_xlfn.XLOOKUP(A92,examTable!$A$2:$A$220,examTable!$E$2:$E$220)</f>
        <v>520 213-2560-165 : FUNDAMENTALS OF DATA STRUCTURES AND APPLICATIONS (lect)</v>
      </c>
      <c r="C92" s="139" t="str">
        <f>_xlfn.XLOOKUP(A92,examTable!$A$2:$A$220,examTable!$F$2:$F$220)</f>
        <v>กฤษณะ สีพนมวัน</v>
      </c>
      <c r="D92" s="140" t="s">
        <v>814</v>
      </c>
      <c r="E92" s="141"/>
      <c r="F92" s="137">
        <v>184</v>
      </c>
      <c r="G92" s="138" t="str">
        <f>_xlfn.XLOOKUP(F92,examTable!$A$2:$A$220,examTable!$E$2:$E$220)</f>
        <v>513 105-2560-165 : GENERAL CHEMISTRY LABORATORY</v>
      </c>
      <c r="H92" s="139" t="str">
        <f>_xlfn.XLOOKUP(F92,examTable!$A$2:$A$220,examTable!$F$2:$F$220)</f>
        <v>สุนทร สุวอเขียว</v>
      </c>
      <c r="I92" s="140" t="s">
        <v>814</v>
      </c>
    </row>
    <row r="93" customHeight="1" spans="1:9">
      <c r="A93" s="137">
        <v>185</v>
      </c>
      <c r="B93" s="138" t="str">
        <f>_xlfn.XLOOKUP(A93,examTable!$A$2:$A$220,examTable!$E$2:$E$220)</f>
        <v>513 255-2560-165 : ORGANIC CHEMISTRY LABORATORY</v>
      </c>
      <c r="C93" s="139" t="str">
        <f>_xlfn.XLOOKUP(A93,examTable!$A$2:$A$220,examTable!$F$2:$F$220)</f>
        <v>มูฮำหมัด นิยมเดชา</v>
      </c>
      <c r="D93" s="140" t="s">
        <v>814</v>
      </c>
      <c r="E93" s="141"/>
      <c r="F93" s="137">
        <v>186</v>
      </c>
      <c r="G93" s="138" t="str">
        <f>_xlfn.XLOOKUP(F93,examTable!$A$2:$A$220,examTable!$E$2:$E$220)</f>
        <v>511 203-2560-165 : VECTOR CALCULUS</v>
      </c>
      <c r="H93" s="139" t="str">
        <f>_xlfn.XLOOKUP(F93,examTable!$A$2:$A$220,examTable!$F$2:$F$220)</f>
        <v>ทิวดี มุสันเทียะ</v>
      </c>
      <c r="I93" s="140" t="s">
        <v>814</v>
      </c>
    </row>
    <row r="94" customHeight="1" spans="1:9">
      <c r="A94" s="137">
        <v>187</v>
      </c>
      <c r="B94" s="138" t="str">
        <f>_xlfn.XLOOKUP(A94,examTable!$A$2:$A$220,examTable!$E$2:$E$220)</f>
        <v>512 314-165 : PLANT PHYSIOLOGY LABORATORY (ฟ้า)</v>
      </c>
      <c r="C94" s="139" t="str">
        <f>_xlfn.XLOOKUP(A94,examTable!$A$2:$A$220,examTable!$F$2:$F$220)</f>
        <v>ศรัณยพร มากทรัพย์</v>
      </c>
      <c r="D94" s="140" t="s">
        <v>814</v>
      </c>
      <c r="E94" s="141"/>
      <c r="F94" s="137">
        <v>188</v>
      </c>
      <c r="G94" s="138" t="str">
        <f>_xlfn.XLOOKUP(F94,examTable!$A$2:$A$220,examTable!$E$2:$E$220)</f>
        <v>511 245-162 : MATRICES AND VECTOR SPACES</v>
      </c>
      <c r="H94" s="139" t="str">
        <f>_xlfn.XLOOKUP(F94,examTable!$A$2:$A$220,examTable!$F$2:$F$220)</f>
        <v>จิราภา ลิ้มบุพศิริพร</v>
      </c>
      <c r="I94" s="140" t="s">
        <v>814</v>
      </c>
    </row>
    <row r="95" customHeight="1" spans="1:9">
      <c r="A95" s="137">
        <v>189</v>
      </c>
      <c r="B95" s="138" t="str">
        <f>_xlfn.XLOOKUP(A95,examTable!$A$2:$A$220,examTable!$E$2:$E$220)</f>
        <v>519 331-165 : INTRODUCTION TO STOCHASTIC MODELS (ฟ้า)</v>
      </c>
      <c r="C95" s="139" t="str">
        <f>_xlfn.XLOOKUP(A95,examTable!$A$2:$A$220,examTable!$F$2:$F$220)</f>
        <v>พัชรี สัมฤทธิ์นรพงศ์</v>
      </c>
      <c r="D95" s="140" t="s">
        <v>814</v>
      </c>
      <c r="E95" s="141"/>
      <c r="F95" s="137">
        <v>190</v>
      </c>
      <c r="G95" s="138" t="str">
        <f>_xlfn.XLOOKUP(F95,examTable!$A$2:$A$220,examTable!$E$2:$E$220)</f>
        <v>519 461-2560 : INTRODUCTION TO STOCHASTIC PROCESS</v>
      </c>
      <c r="H95" s="139" t="str">
        <f>_xlfn.XLOOKUP(F95,examTable!$A$2:$A$220,examTable!$F$2:$F$220)</f>
        <v>พัชรี สัมฤทธิ์นรพงศ์</v>
      </c>
      <c r="I95" s="140" t="s">
        <v>814</v>
      </c>
    </row>
    <row r="96" customHeight="1" spans="1:9">
      <c r="A96" s="137">
        <v>191</v>
      </c>
      <c r="B96" s="138" t="str">
        <f>_xlfn.XLOOKUP(A96,examTable!$A$2:$A$220,examTable!$E$2:$E$220)</f>
        <v>520 213-2560-165 : FUNDAMENTALS OF DATA STRUCTURES AND APPLICATIONS (lab)</v>
      </c>
      <c r="C96" s="139" t="str">
        <f>_xlfn.XLOOKUP(A96,examTable!$A$2:$A$220,examTable!$F$2:$F$220)</f>
        <v>กฤษณะ สีพนมวัน</v>
      </c>
      <c r="D96" s="140" t="s">
        <v>814</v>
      </c>
      <c r="E96" s="141"/>
      <c r="F96" s="137">
        <v>192</v>
      </c>
      <c r="G96" s="138" t="str">
        <f>_xlfn.XLOOKUP(F96,examTable!$A$2:$A$220,examTable!$E$2:$E$220)</f>
        <v>520 333-2560 : DATA MINING / 522 355-2561 / 522 356-165</v>
      </c>
      <c r="H96" s="139" t="str">
        <f>_xlfn.XLOOKUP(F96,examTable!$A$2:$A$220,examTable!$F$2:$F$220)</f>
        <v>โอภาส วงษ์ทวีทรัพย์</v>
      </c>
      <c r="I96" s="140" t="s">
        <v>814</v>
      </c>
    </row>
    <row r="97" customHeight="1" spans="1:9">
      <c r="A97" s="137">
        <v>193</v>
      </c>
      <c r="B97" s="138" t="str">
        <f>_xlfn.XLOOKUP(A97,examTable!$A$2:$A$220,examTable!$E$2:$E$220)</f>
        <v>524 245-166 : GEOGRAPHY AND INTRODUCTION TO GEOLOGY</v>
      </c>
      <c r="C97" s="139" t="str">
        <f>_xlfn.XLOOKUP(A97,examTable!$A$2:$A$220,examTable!$F$2:$F$220)</f>
        <v>ประสาน ปานแก้ว</v>
      </c>
      <c r="D97" s="140" t="s">
        <v>814</v>
      </c>
      <c r="E97" s="141"/>
      <c r="F97" s="137">
        <v>194</v>
      </c>
      <c r="G97" s="138" t="str">
        <f>_xlfn.XLOOKUP(F97,examTable!$A$2:$A$220,examTable!$E$2:$E$220)</f>
        <v>514 342-2560 : SOLAR CELL TECHNOLOGY (ฟ้า)</v>
      </c>
      <c r="H97" s="139" t="str">
        <f>_xlfn.XLOOKUP(F97,examTable!$A$2:$A$220,examTable!$F$2:$F$220)</f>
        <v>ประสาน ปานแก้ว</v>
      </c>
      <c r="I97" s="140" t="s">
        <v>814</v>
      </c>
    </row>
    <row r="98" customHeight="1" spans="1:9">
      <c r="A98" s="137">
        <v>195</v>
      </c>
      <c r="B98" s="138" t="str">
        <f>_xlfn.XLOOKUP(A98,examTable!$A$2:$A$220,examTable!$E$2:$E$220)</f>
        <v>517 211-2560-165 : DATA STRUCTURES (Lab)</v>
      </c>
      <c r="C98" s="139" t="str">
        <f>_xlfn.XLOOKUP(A98,examTable!$A$2:$A$220,examTable!$F$2:$F$220)</f>
        <v>วัสรา รอดเหตุภัย</v>
      </c>
      <c r="D98" s="140" t="s">
        <v>814</v>
      </c>
      <c r="E98" s="141"/>
      <c r="F98" s="137">
        <v>196</v>
      </c>
      <c r="G98" s="138" t="str">
        <f>_xlfn.XLOOKUP(F98,examTable!$A$2:$A$220,examTable!$E$2:$E$220)</f>
        <v>512 334-2560-165 : ANIMAL PHYSIOLOGY LABORATORY</v>
      </c>
      <c r="H98" s="139" t="str">
        <f>_xlfn.XLOOKUP(F98,examTable!$A$2:$A$220,examTable!$F$2:$F$220)</f>
        <v>ชญาดา โชติศรีศุภรัตน์</v>
      </c>
      <c r="I98" s="140" t="s">
        <v>814</v>
      </c>
    </row>
    <row r="99" customHeight="1" spans="1:9">
      <c r="A99" s="137">
        <v>197</v>
      </c>
      <c r="B99" s="138" t="str">
        <f>_xlfn.XLOOKUP(A99,examTable!$A$2:$A$220,examTable!$E$2:$E$220)</f>
        <v>513 484-2560 : SELECTED TOPICS IN BIOCHEMISTRY (ฟ้า)</v>
      </c>
      <c r="C99" s="139" t="str">
        <f>_xlfn.XLOOKUP(A99,examTable!$A$2:$A$220,examTable!$F$2:$F$220)</f>
        <v>สุชารัตน์ สนองเกียรติ</v>
      </c>
      <c r="D99" s="140" t="s">
        <v>814</v>
      </c>
      <c r="E99" s="141"/>
      <c r="F99" s="137">
        <v>198</v>
      </c>
      <c r="G99" s="138" t="str">
        <f>_xlfn.XLOOKUP(F99,examTable!$A$2:$A$220,examTable!$E$2:$E$220)</f>
        <v>513 333-2560-165 : ANALYTICAL CHEMISTRY LABORATORY III</v>
      </c>
      <c r="H99" s="139" t="str">
        <f>_xlfn.XLOOKUP(F99,examTable!$A$2:$A$220,examTable!$F$2:$F$220)</f>
        <v>ศิริรัตน์ ชูสกุลเกรียง</v>
      </c>
      <c r="I99" s="140" t="s">
        <v>814</v>
      </c>
    </row>
    <row r="100" customHeight="1" spans="1:9">
      <c r="A100" s="137">
        <v>199</v>
      </c>
      <c r="B100" s="138" t="str">
        <f>_xlfn.XLOOKUP(A100,examTable!$A$2:$A$220,examTable!$E$2:$E$220)</f>
        <v>515 102-167 : STATISTICS FOR MATHEMATICS TEACHERS I openbook</v>
      </c>
      <c r="C100" s="139" t="str">
        <f>_xlfn.XLOOKUP(A100,examTable!$A$2:$A$220,examTable!$F$2:$F$220)</f>
        <v>วิภาวรรณ เล้าอรุณ</v>
      </c>
      <c r="D100" s="140" t="s">
        <v>814</v>
      </c>
      <c r="E100" s="141"/>
      <c r="F100" s="137">
        <v>200</v>
      </c>
      <c r="G100" s="138" t="str">
        <f>_xlfn.XLOOKUP(F100,examTable!$A$2:$A$220,examTable!$E$2:$E$220)</f>
        <v>518 331-2560-165 : YEAST BIOLOGY AND TECHNOLOGY</v>
      </c>
      <c r="H100" s="139" t="str">
        <f>_xlfn.XLOOKUP(F100,examTable!$A$2:$A$220,examTable!$F$2:$F$220)</f>
        <v>สุจินันท์ มีไล้</v>
      </c>
      <c r="I100" s="140" t="s">
        <v>814</v>
      </c>
    </row>
    <row r="101" customHeight="1" spans="1:9">
      <c r="A101" s="137">
        <v>201</v>
      </c>
      <c r="B101" s="138" t="str">
        <f>_xlfn.XLOOKUP(A101,examTable!$A$2:$A$220,examTable!$E$2:$E$220)</f>
        <v>518 332-2560-165 : YEAST BIOLOGY AND TECHNOLOGY LABORATORY</v>
      </c>
      <c r="C101" s="139" t="str">
        <f>_xlfn.XLOOKUP(A101,examTable!$A$2:$A$220,examTable!$F$2:$F$220)</f>
        <v>สุจินันท์ มีไล้</v>
      </c>
      <c r="D101" s="140" t="s">
        <v>814</v>
      </c>
      <c r="E101" s="141"/>
      <c r="F101" s="137">
        <v>202</v>
      </c>
      <c r="G101" s="138" t="str">
        <f>_xlfn.XLOOKUP(F101,examTable!$A$2:$A$220,examTable!$E$2:$E$220)</f>
        <v>511 103-165 : CALCULUS FOR BIOLOGICAL SCIENTISTS อ.สิทธิเศรษฐ์</v>
      </c>
      <c r="H101" s="139" t="str">
        <f>_xlfn.XLOOKUP(F101,examTable!$A$2:$A$220,examTable!$F$2:$F$220)</f>
        <v>สิทธิเศรษฐ์ พลเวียง</v>
      </c>
      <c r="I101" s="140" t="s">
        <v>814</v>
      </c>
    </row>
    <row r="102" customHeight="1" spans="1:9">
      <c r="A102" s="137">
        <v>203</v>
      </c>
      <c r="B102" s="138" t="str">
        <f>_xlfn.XLOOKUP(A102,examTable!$A$2:$A$220,examTable!$E$2:$E$220)</f>
        <v>511 114-165 : GENERAL MATHEMATICS (ฟ้า)</v>
      </c>
      <c r="C102" s="139" t="str">
        <f>_xlfn.XLOOKUP(A102,examTable!$A$2:$A$220,examTable!$F$2:$F$220)</f>
        <v>สินีนุช สุวรรณาภิชาติ</v>
      </c>
      <c r="D102" s="140" t="s">
        <v>814</v>
      </c>
      <c r="E102" s="141"/>
      <c r="F102" s="137">
        <v>204</v>
      </c>
      <c r="G102" s="138" t="str">
        <f>_xlfn.XLOOKUP(F102,examTable!$A$2:$A$220,examTable!$E$2:$E$220)</f>
        <v>511 103-165 : CALCULUS FOR BIOLOGICAL SCIENTISTS / 511 113-165 อ.จิตติศักดิ์</v>
      </c>
      <c r="H102" s="139" t="str">
        <f>_xlfn.XLOOKUP(F102,examTable!$A$2:$A$220,examTable!$F$2:$F$220)</f>
        <v>จิตติศักดิ์ รักบุตร</v>
      </c>
      <c r="I102" s="140" t="s">
        <v>814</v>
      </c>
    </row>
    <row r="103" customHeight="1" spans="1:9">
      <c r="A103" s="137">
        <v>205</v>
      </c>
      <c r="B103" s="138" t="str">
        <f>_xlfn.XLOOKUP(A103,examTable!$A$2:$A$220,examTable!$E$2:$E$220)</f>
        <v>511 108-2560-165 : CALCULUS FOR COMPUTATIONAL SCIENTISTS I</v>
      </c>
      <c r="C103" s="139" t="str">
        <f>_xlfn.XLOOKUP(A103,examTable!$A$2:$A$220,examTable!$F$2:$F$220)</f>
        <v>สินีนุช สุวรรณาภิชาติ</v>
      </c>
      <c r="D103" s="140" t="s">
        <v>814</v>
      </c>
      <c r="E103" s="141"/>
      <c r="F103" s="137">
        <v>206</v>
      </c>
      <c r="G103" s="138" t="str">
        <f>_xlfn.XLOOKUP(F103,examTable!$A$2:$A$220,examTable!$E$2:$E$220)</f>
        <v>514 343-2560 : WIND ENERGY (ฟ้า)</v>
      </c>
      <c r="H103" s="139" t="str">
        <f>_xlfn.XLOOKUP(F103,examTable!$A$2:$A$220,examTable!$F$2:$F$220)</f>
        <v>วรภาส พรมเสน</v>
      </c>
      <c r="I103" s="140" t="s">
        <v>814</v>
      </c>
    </row>
    <row r="104" customHeight="1" spans="1:9">
      <c r="A104" s="137">
        <v>207</v>
      </c>
      <c r="B104" s="138" t="str">
        <f>_xlfn.XLOOKUP(A104,examTable!$A$2:$A$220,examTable!$E$2:$E$220)</f>
        <v>516 410-2560 : CLEANER TECHNOLOGY AND ENVIRONMENTAL MANAGEMENT</v>
      </c>
      <c r="C104" s="139" t="str">
        <f>_xlfn.XLOOKUP(A104,examTable!$A$2:$A$220,examTable!$F$2:$F$220)</f>
        <v>พัชราพร พงษ์พัฒน์</v>
      </c>
      <c r="D104" s="140" t="s">
        <v>814</v>
      </c>
      <c r="E104" s="141"/>
      <c r="F104" s="137">
        <v>208</v>
      </c>
      <c r="G104" s="138" t="str">
        <f>_xlfn.XLOOKUP(F104,examTable!$A$2:$A$220,examTable!$E$2:$E$220)</f>
        <v>518 101-165 : GENERAL MICROBIOLOGY</v>
      </c>
      <c r="H104" s="139" t="str">
        <f>_xlfn.XLOOKUP(F104,examTable!$A$2:$A$220,examTable!$F$2:$F$220)</f>
        <v>อรวรรณ บริรักษ์</v>
      </c>
      <c r="I104" s="140" t="s">
        <v>814</v>
      </c>
    </row>
    <row r="105" customHeight="1" spans="1:9">
      <c r="A105" s="137">
        <v>209</v>
      </c>
      <c r="B105" s="138" t="str">
        <f>_xlfn.XLOOKUP(A105,examTable!$A$2:$A$220,examTable!$E$2:$E$220)</f>
        <v>517 465-165 : FEATURE ENGINEERING / 517 481-2560 / 520 485-2560 / 522 352-2561 (Lect)</v>
      </c>
      <c r="C105" s="139" t="str">
        <f>_xlfn.XLOOKUP(A105,examTable!$A$2:$A$220,examTable!$F$2:$F$220)</f>
        <v>รัชดาพร คณาวงษ์</v>
      </c>
      <c r="D105" s="140" t="s">
        <v>814</v>
      </c>
      <c r="E105" s="141"/>
      <c r="F105" s="137">
        <v>210</v>
      </c>
      <c r="G105" s="138" t="str">
        <f>_xlfn.XLOOKUP(F105,examTable!$A$2:$A$220,examTable!$E$2:$E$220)</f>
        <v>513 233-2560-165 : ANALYTICAL CHEMISTRY LABORATORY I</v>
      </c>
      <c r="H105" s="139" t="str">
        <f>_xlfn.XLOOKUP(F105,examTable!$A$2:$A$220,examTable!$F$2:$F$220)</f>
        <v>ณิชนันทน์ เทพศุภรังษิกุล</v>
      </c>
      <c r="I105" s="140" t="s">
        <v>814</v>
      </c>
    </row>
    <row r="106" customHeight="1" spans="1:9">
      <c r="A106" s="137">
        <v>211</v>
      </c>
      <c r="B106" s="138" t="str">
        <f>_xlfn.XLOOKUP(A106,examTable!$A$2:$A$220,examTable!$E$2:$E$220)</f>
        <v>513 431-2560 : ADVANCED ANALYTICAL CHEMISTRY I</v>
      </c>
      <c r="C106" s="139" t="str">
        <f>_xlfn.XLOOKUP(A106,examTable!$A$2:$A$220,examTable!$F$2:$F$220)</f>
        <v>ศิริรัตน์ ชูสกุลเกรียง</v>
      </c>
      <c r="D106" s="140" t="s">
        <v>814</v>
      </c>
      <c r="F106" s="137">
        <v>212</v>
      </c>
      <c r="G106" s="138" t="str">
        <f>_xlfn.XLOOKUP(F106,examTable!$A$2:$A$220,examTable!$E$2:$E$220)</f>
        <v>515 102-167 : STATISTICS FOR MATHEMATICS TEACHERS I (Lab) openbook</v>
      </c>
      <c r="H106" s="139" t="str">
        <f>_xlfn.XLOOKUP(F106,examTable!$A$2:$A$220,examTable!$F$2:$F$220)</f>
        <v>วิภาวรรณ เล้าอรุณ</v>
      </c>
      <c r="I106" s="140" t="s">
        <v>814</v>
      </c>
    </row>
    <row r="107" customHeight="1" spans="1:9">
      <c r="A107" s="137">
        <v>213</v>
      </c>
      <c r="B107" s="138" t="str">
        <f>_xlfn.XLOOKUP(A107,examTable!$A$2:$A$220,examTable!$E$2:$E$220)</f>
        <v>512 313-2560-165 : PLANT PHYSIOLOGY (ฟ้า)</v>
      </c>
      <c r="C107" s="139" t="str">
        <f>_xlfn.XLOOKUP(A107,examTable!$A$2:$A$220,examTable!$F$2:$F$220)</f>
        <v>ศรัณยพร มากทรัพย์</v>
      </c>
      <c r="D107" s="140" t="s">
        <v>814</v>
      </c>
      <c r="F107" s="137">
        <v>214</v>
      </c>
      <c r="G107" s="138" t="str">
        <f>_xlfn.XLOOKUP(F107,examTable!$A$2:$A$220,examTable!$E$2:$E$220)</f>
        <v>521 203-2562 : THERMODYNAMICS</v>
      </c>
      <c r="H107" s="139" t="str">
        <f>_xlfn.XLOOKUP(F107,examTable!$A$2:$A$220,examTable!$F$2:$F$220)</f>
        <v>ชวรัตน์ ศิริวงษ์</v>
      </c>
      <c r="I107" s="140" t="s">
        <v>814</v>
      </c>
    </row>
    <row r="108" customHeight="1" spans="1:9">
      <c r="A108" s="137">
        <v>215</v>
      </c>
      <c r="B108" s="138" t="str">
        <f>_xlfn.XLOOKUP(A108,examTable!$A$2:$A$220,examTable!$E$2:$E$220)</f>
        <v>521 303-162 : WAVES (ส้ม)</v>
      </c>
      <c r="C108" s="139" t="str">
        <f>_xlfn.XLOOKUP(A108,examTable!$A$2:$A$220,examTable!$F$2:$F$220)</f>
        <v>อิสระ มะศิริ</v>
      </c>
      <c r="D108" s="140" t="s">
        <v>814</v>
      </c>
      <c r="F108" s="137">
        <v>216</v>
      </c>
      <c r="G108" s="138" t="str">
        <f>_xlfn.XLOOKUP(F108,examTable!$A$2:$A$220,examTable!$E$2:$E$220)</f>
        <v>515 421-2560 : APPLIED MULTIVARIATE ANALYSIS (Lab) openbook</v>
      </c>
      <c r="H108" s="139" t="str">
        <f>_xlfn.XLOOKUP(F108,examTable!$A$2:$A$220,examTable!$F$2:$F$220)</f>
        <v>ศศิประภา หิริโอตป์</v>
      </c>
      <c r="I108" s="140" t="s">
        <v>814</v>
      </c>
    </row>
    <row r="109" customHeight="1" spans="1:9">
      <c r="A109" s="137">
        <v>217</v>
      </c>
      <c r="B109" s="138" t="str">
        <f>_xlfn.XLOOKUP(A109,examTable!$A$2:$A$220,examTable!$E$2:$E$220)</f>
        <v>516 302-2560 : BASIC REMOTE SENSING (ฟ้า)</v>
      </c>
      <c r="C109" s="139" t="str">
        <f>_xlfn.XLOOKUP(A109,examTable!$A$2:$A$220,examTable!$F$2:$F$220)</f>
        <v>อรประภา ภุมมะกาญจนะ โรแบร์</v>
      </c>
      <c r="D109" s="140" t="s">
        <v>814</v>
      </c>
      <c r="F109" s="137">
        <v>218</v>
      </c>
      <c r="G109" s="138" t="str">
        <f>_xlfn.XLOOKUP(F109,examTable!$A$2:$A$220,examTable!$E$2:$E$220)</f>
        <v>520 322-2560-165 : BUSINESS INFORMATION SYSTEMS</v>
      </c>
      <c r="H109" s="139" t="str">
        <f>_xlfn.XLOOKUP(F109,examTable!$A$2:$A$220,examTable!$F$2:$F$220)</f>
        <v>เสาวลักษณ์ อร่ามพงศานุวัต</v>
      </c>
      <c r="I109" s="140" t="s">
        <v>814</v>
      </c>
    </row>
    <row r="110" customHeight="1" spans="1:9">
      <c r="A110" s="137">
        <v>219</v>
      </c>
      <c r="B110" s="138" t="str">
        <f>_xlfn.XLOOKUP(A110,examTable!$A$2:$A$220,examTable!$E$2:$E$220)</f>
        <v>517 465-165 : FEATURE ENGINEERING / 517 481-2560 / 520 485-2560 / 522 352-2561 (Lab)</v>
      </c>
      <c r="C110" s="139" t="str">
        <f>_xlfn.XLOOKUP(A110,examTable!$A$2:$A$220,examTable!$F$2:$F$220)</f>
        <v>รัชดาพร คณาวงษ์</v>
      </c>
      <c r="D110" s="140" t="s">
        <v>814</v>
      </c>
      <c r="F110" s="137">
        <v>220</v>
      </c>
      <c r="G110" s="138"/>
      <c r="H110" s="142"/>
      <c r="I110" s="140" t="s">
        <v>814</v>
      </c>
    </row>
    <row r="111" customHeight="1" spans="1:9">
      <c r="A111" s="137">
        <v>221</v>
      </c>
      <c r="B111" s="138"/>
      <c r="C111" s="142"/>
      <c r="D111" s="140" t="s">
        <v>814</v>
      </c>
      <c r="F111" s="137">
        <v>222</v>
      </c>
      <c r="G111" s="138"/>
      <c r="H111" s="142"/>
      <c r="I111" s="140" t="s">
        <v>814</v>
      </c>
    </row>
    <row r="112" customHeight="1" spans="1:9">
      <c r="A112" s="137">
        <v>223</v>
      </c>
      <c r="B112" s="138"/>
      <c r="C112" s="142"/>
      <c r="D112" s="140" t="s">
        <v>814</v>
      </c>
      <c r="F112" s="137">
        <v>224</v>
      </c>
      <c r="G112" s="138"/>
      <c r="H112" s="142"/>
      <c r="I112" s="140" t="s">
        <v>814</v>
      </c>
    </row>
    <row r="113" customHeight="1" spans="1:9">
      <c r="A113" s="137">
        <v>225</v>
      </c>
      <c r="B113" s="138"/>
      <c r="C113" s="142"/>
      <c r="D113" s="140" t="s">
        <v>814</v>
      </c>
      <c r="F113" s="137">
        <v>226</v>
      </c>
      <c r="G113" s="138"/>
      <c r="H113" s="142"/>
      <c r="I113" s="140" t="s">
        <v>814</v>
      </c>
    </row>
    <row r="114" customHeight="1" spans="1:9">
      <c r="A114" s="137">
        <v>227</v>
      </c>
      <c r="B114" s="138"/>
      <c r="C114" s="142"/>
      <c r="D114" s="140" t="s">
        <v>814</v>
      </c>
      <c r="F114" s="137">
        <v>228</v>
      </c>
      <c r="G114" s="138"/>
      <c r="H114" s="142"/>
      <c r="I114" s="140" t="s">
        <v>814</v>
      </c>
    </row>
    <row r="115" customHeight="1" spans="1:9">
      <c r="A115" s="137">
        <v>229</v>
      </c>
      <c r="B115" s="138"/>
      <c r="C115" s="142"/>
      <c r="D115" s="140" t="s">
        <v>814</v>
      </c>
      <c r="F115" s="137">
        <v>230</v>
      </c>
      <c r="G115" s="138"/>
      <c r="H115" s="142"/>
      <c r="I115" s="140" t="s">
        <v>814</v>
      </c>
    </row>
    <row r="116" customHeight="1" spans="1:9">
      <c r="A116" s="137">
        <v>231</v>
      </c>
      <c r="B116" s="138"/>
      <c r="C116" s="142"/>
      <c r="D116" s="140" t="s">
        <v>814</v>
      </c>
      <c r="F116" s="137">
        <v>232</v>
      </c>
      <c r="G116" s="138"/>
      <c r="H116" s="142"/>
      <c r="I116" s="140" t="s">
        <v>814</v>
      </c>
    </row>
    <row r="117" customHeight="1" spans="1:9">
      <c r="A117" s="137">
        <v>233</v>
      </c>
      <c r="B117" s="138"/>
      <c r="C117" s="142"/>
      <c r="D117" s="140" t="s">
        <v>814</v>
      </c>
      <c r="F117" s="137">
        <v>234</v>
      </c>
      <c r="G117" s="138"/>
      <c r="H117" s="142"/>
      <c r="I117" s="140" t="s">
        <v>814</v>
      </c>
    </row>
    <row r="118" customHeight="1" spans="1:9">
      <c r="A118" s="137">
        <v>235</v>
      </c>
      <c r="B118" s="138"/>
      <c r="C118" s="142"/>
      <c r="D118" s="140" t="s">
        <v>814</v>
      </c>
      <c r="F118" s="137">
        <v>236</v>
      </c>
      <c r="G118" s="138"/>
      <c r="H118" s="142"/>
      <c r="I118" s="140" t="s">
        <v>814</v>
      </c>
    </row>
    <row r="119" customHeight="1" spans="1:9">
      <c r="A119" s="137">
        <v>237</v>
      </c>
      <c r="B119" s="138"/>
      <c r="C119" s="142"/>
      <c r="D119" s="140" t="s">
        <v>814</v>
      </c>
      <c r="F119" s="137">
        <v>238</v>
      </c>
      <c r="G119" s="138"/>
      <c r="H119" s="142"/>
      <c r="I119" s="140" t="s">
        <v>814</v>
      </c>
    </row>
    <row r="120" customHeight="1" spans="1:9">
      <c r="A120" s="137">
        <v>239</v>
      </c>
      <c r="B120" s="138"/>
      <c r="C120" s="142"/>
      <c r="D120" s="140" t="s">
        <v>814</v>
      </c>
      <c r="F120" s="137">
        <v>240</v>
      </c>
      <c r="G120" s="138"/>
      <c r="H120" s="142"/>
      <c r="I120" s="140" t="s">
        <v>814</v>
      </c>
    </row>
    <row r="121" customHeight="1" spans="1:9">
      <c r="A121" s="137">
        <v>241</v>
      </c>
      <c r="B121" s="138"/>
      <c r="C121" s="142"/>
      <c r="D121" s="140" t="s">
        <v>814</v>
      </c>
      <c r="F121" s="137">
        <v>242</v>
      </c>
      <c r="G121" s="138"/>
      <c r="H121" s="142"/>
      <c r="I121" s="140" t="s">
        <v>814</v>
      </c>
    </row>
    <row r="122" customHeight="1" spans="1:9">
      <c r="A122" s="137">
        <v>243</v>
      </c>
      <c r="B122" s="138"/>
      <c r="C122" s="142"/>
      <c r="D122" s="140" t="s">
        <v>814</v>
      </c>
      <c r="F122" s="137">
        <v>244</v>
      </c>
      <c r="G122" s="138"/>
      <c r="H122" s="142"/>
      <c r="I122" s="140" t="s">
        <v>814</v>
      </c>
    </row>
    <row r="123" customHeight="1" spans="1:9">
      <c r="A123" s="137">
        <v>245</v>
      </c>
      <c r="B123" s="138"/>
      <c r="C123" s="142"/>
      <c r="D123" s="140" t="s">
        <v>814</v>
      </c>
      <c r="F123" s="137">
        <v>246</v>
      </c>
      <c r="G123" s="138"/>
      <c r="H123" s="142"/>
      <c r="I123" s="140" t="s">
        <v>814</v>
      </c>
    </row>
    <row r="124" customHeight="1" spans="1:9">
      <c r="A124" s="137">
        <v>247</v>
      </c>
      <c r="B124" s="138"/>
      <c r="C124" s="142"/>
      <c r="D124" s="140" t="s">
        <v>814</v>
      </c>
      <c r="F124" s="137">
        <v>248</v>
      </c>
      <c r="G124" s="138"/>
      <c r="H124" s="142"/>
      <c r="I124" s="140" t="s">
        <v>814</v>
      </c>
    </row>
    <row r="125" customHeight="1" spans="1:9">
      <c r="A125" s="143">
        <v>249</v>
      </c>
      <c r="B125" s="144"/>
      <c r="C125" s="145"/>
      <c r="D125" s="146" t="s">
        <v>814</v>
      </c>
      <c r="F125" s="143">
        <v>250</v>
      </c>
      <c r="G125" s="144"/>
      <c r="H125" s="145"/>
      <c r="I125" s="146" t="s">
        <v>814</v>
      </c>
    </row>
    <row r="126" customHeight="1" spans="1:9">
      <c r="A126" s="137">
        <f>A125+2</f>
        <v>251</v>
      </c>
      <c r="B126" s="138"/>
      <c r="C126" s="142"/>
      <c r="D126" s="140" t="s">
        <v>814</v>
      </c>
      <c r="E126" s="147"/>
      <c r="F126" s="137">
        <f>F125+2</f>
        <v>252</v>
      </c>
      <c r="G126" s="138"/>
      <c r="H126" s="142"/>
      <c r="I126" s="140" t="s">
        <v>814</v>
      </c>
    </row>
    <row r="127" customHeight="1" spans="1:9">
      <c r="A127" s="137">
        <f t="shared" ref="A127:A130" si="0">A126+2</f>
        <v>253</v>
      </c>
      <c r="B127" s="138"/>
      <c r="C127" s="142"/>
      <c r="D127" s="140" t="s">
        <v>814</v>
      </c>
      <c r="E127" s="147"/>
      <c r="F127" s="137">
        <f t="shared" ref="F127:F130" si="1">F126+2</f>
        <v>254</v>
      </c>
      <c r="G127" s="138"/>
      <c r="H127" s="142"/>
      <c r="I127" s="140" t="s">
        <v>814</v>
      </c>
    </row>
    <row r="128" customHeight="1" spans="1:9">
      <c r="A128" s="137">
        <f t="shared" si="0"/>
        <v>255</v>
      </c>
      <c r="B128" s="138"/>
      <c r="C128" s="142"/>
      <c r="D128" s="140" t="s">
        <v>814</v>
      </c>
      <c r="E128" s="147"/>
      <c r="F128" s="137">
        <f t="shared" si="1"/>
        <v>256</v>
      </c>
      <c r="G128" s="138"/>
      <c r="H128" s="142"/>
      <c r="I128" s="140" t="s">
        <v>814</v>
      </c>
    </row>
    <row r="129" customHeight="1" spans="1:9">
      <c r="A129" s="137">
        <f t="shared" si="0"/>
        <v>257</v>
      </c>
      <c r="B129" s="138"/>
      <c r="C129" s="142"/>
      <c r="D129" s="140" t="s">
        <v>814</v>
      </c>
      <c r="E129" s="147"/>
      <c r="F129" s="137">
        <f t="shared" si="1"/>
        <v>258</v>
      </c>
      <c r="G129" s="138"/>
      <c r="H129" s="142"/>
      <c r="I129" s="140" t="s">
        <v>814</v>
      </c>
    </row>
    <row r="130" customHeight="1" spans="1:9">
      <c r="A130" s="137">
        <f t="shared" si="0"/>
        <v>259</v>
      </c>
      <c r="B130" s="138"/>
      <c r="C130" s="142"/>
      <c r="D130" s="140" t="s">
        <v>814</v>
      </c>
      <c r="E130" s="147"/>
      <c r="F130" s="137">
        <f t="shared" si="1"/>
        <v>260</v>
      </c>
      <c r="G130" s="138"/>
      <c r="H130" s="142"/>
      <c r="I130" s="140" t="s">
        <v>814</v>
      </c>
    </row>
  </sheetData>
  <pageMargins left="0.25" right="0.25" top="0.5" bottom="0.2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M263"/>
  <sheetViews>
    <sheetView topLeftCell="A218" workbookViewId="0">
      <selection activeCell="I261" sqref="I261"/>
    </sheetView>
  </sheetViews>
  <sheetFormatPr defaultColWidth="9" defaultRowHeight="31.5" customHeight="1"/>
  <cols>
    <col min="1" max="1" width="5.12962962962963" style="115" customWidth="1"/>
    <col min="2" max="2" width="13.3796296296296" style="115" customWidth="1"/>
    <col min="3" max="3" width="15" style="115" customWidth="1"/>
    <col min="4" max="4" width="3.25" style="115" customWidth="1"/>
    <col min="5" max="5" width="69.8796296296296" style="115" customWidth="1"/>
    <col min="6" max="6" width="27" style="115" customWidth="1"/>
    <col min="7" max="7" width="6.37962962962963" style="116" customWidth="1"/>
    <col min="8" max="8" width="7" style="115" customWidth="1"/>
    <col min="9" max="9" width="12.3796296296296" style="115" customWidth="1"/>
    <col min="10" max="10" width="7.25" style="115" customWidth="1"/>
    <col min="11" max="11" width="12.3796296296296" style="115" customWidth="1"/>
    <col min="12" max="12" width="4.87962962962963" style="115" customWidth="1"/>
    <col min="13" max="13" width="4.25" style="115" customWidth="1"/>
    <col min="14" max="256" width="9" style="115"/>
    <col min="257" max="257" width="2.87962962962963" style="115" customWidth="1"/>
    <col min="258" max="258" width="7.25" style="115" customWidth="1"/>
    <col min="259" max="259" width="7.12962962962963" style="115" customWidth="1"/>
    <col min="260" max="260" width="1.37962962962963" style="115" customWidth="1"/>
    <col min="261" max="261" width="34.3796296296296" style="115" customWidth="1"/>
    <col min="262" max="262" width="3.62962962962963" style="115" customWidth="1"/>
    <col min="263" max="263" width="7.37962962962963" style="115" customWidth="1"/>
    <col min="264" max="264" width="7.25" style="115" customWidth="1"/>
    <col min="265" max="265" width="5" style="115" customWidth="1"/>
    <col min="266" max="266" width="7.25" style="115" customWidth="1"/>
    <col min="267" max="267" width="5" style="115" customWidth="1"/>
    <col min="268" max="268" width="3.25" style="115" customWidth="1"/>
    <col min="269" max="512" width="9" style="115"/>
    <col min="513" max="513" width="2.87962962962963" style="115" customWidth="1"/>
    <col min="514" max="514" width="7.25" style="115" customWidth="1"/>
    <col min="515" max="515" width="7.12962962962963" style="115" customWidth="1"/>
    <col min="516" max="516" width="1.37962962962963" style="115" customWidth="1"/>
    <col min="517" max="517" width="34.3796296296296" style="115" customWidth="1"/>
    <col min="518" max="518" width="3.62962962962963" style="115" customWidth="1"/>
    <col min="519" max="519" width="7.37962962962963" style="115" customWidth="1"/>
    <col min="520" max="520" width="7.25" style="115" customWidth="1"/>
    <col min="521" max="521" width="5" style="115" customWidth="1"/>
    <col min="522" max="522" width="7.25" style="115" customWidth="1"/>
    <col min="523" max="523" width="5" style="115" customWidth="1"/>
    <col min="524" max="524" width="3.25" style="115" customWidth="1"/>
    <col min="525" max="768" width="9" style="115"/>
    <col min="769" max="769" width="2.87962962962963" style="115" customWidth="1"/>
    <col min="770" max="770" width="7.25" style="115" customWidth="1"/>
    <col min="771" max="771" width="7.12962962962963" style="115" customWidth="1"/>
    <col min="772" max="772" width="1.37962962962963" style="115" customWidth="1"/>
    <col min="773" max="773" width="34.3796296296296" style="115" customWidth="1"/>
    <col min="774" max="774" width="3.62962962962963" style="115" customWidth="1"/>
    <col min="775" max="775" width="7.37962962962963" style="115" customWidth="1"/>
    <col min="776" max="776" width="7.25" style="115" customWidth="1"/>
    <col min="777" max="777" width="5" style="115" customWidth="1"/>
    <col min="778" max="778" width="7.25" style="115" customWidth="1"/>
    <col min="779" max="779" width="5" style="115" customWidth="1"/>
    <col min="780" max="780" width="3.25" style="115" customWidth="1"/>
    <col min="781" max="1024" width="9" style="115"/>
    <col min="1025" max="1025" width="2.87962962962963" style="115" customWidth="1"/>
    <col min="1026" max="1026" width="7.25" style="115" customWidth="1"/>
    <col min="1027" max="1027" width="7.12962962962963" style="115" customWidth="1"/>
    <col min="1028" max="1028" width="1.37962962962963" style="115" customWidth="1"/>
    <col min="1029" max="1029" width="34.3796296296296" style="115" customWidth="1"/>
    <col min="1030" max="1030" width="3.62962962962963" style="115" customWidth="1"/>
    <col min="1031" max="1031" width="7.37962962962963" style="115" customWidth="1"/>
    <col min="1032" max="1032" width="7.25" style="115" customWidth="1"/>
    <col min="1033" max="1033" width="5" style="115" customWidth="1"/>
    <col min="1034" max="1034" width="7.25" style="115" customWidth="1"/>
    <col min="1035" max="1035" width="5" style="115" customWidth="1"/>
    <col min="1036" max="1036" width="3.25" style="115" customWidth="1"/>
    <col min="1037" max="1280" width="9" style="115"/>
    <col min="1281" max="1281" width="2.87962962962963" style="115" customWidth="1"/>
    <col min="1282" max="1282" width="7.25" style="115" customWidth="1"/>
    <col min="1283" max="1283" width="7.12962962962963" style="115" customWidth="1"/>
    <col min="1284" max="1284" width="1.37962962962963" style="115" customWidth="1"/>
    <col min="1285" max="1285" width="34.3796296296296" style="115" customWidth="1"/>
    <col min="1286" max="1286" width="3.62962962962963" style="115" customWidth="1"/>
    <col min="1287" max="1287" width="7.37962962962963" style="115" customWidth="1"/>
    <col min="1288" max="1288" width="7.25" style="115" customWidth="1"/>
    <col min="1289" max="1289" width="5" style="115" customWidth="1"/>
    <col min="1290" max="1290" width="7.25" style="115" customWidth="1"/>
    <col min="1291" max="1291" width="5" style="115" customWidth="1"/>
    <col min="1292" max="1292" width="3.25" style="115" customWidth="1"/>
    <col min="1293" max="1536" width="9" style="115"/>
    <col min="1537" max="1537" width="2.87962962962963" style="115" customWidth="1"/>
    <col min="1538" max="1538" width="7.25" style="115" customWidth="1"/>
    <col min="1539" max="1539" width="7.12962962962963" style="115" customWidth="1"/>
    <col min="1540" max="1540" width="1.37962962962963" style="115" customWidth="1"/>
    <col min="1541" max="1541" width="34.3796296296296" style="115" customWidth="1"/>
    <col min="1542" max="1542" width="3.62962962962963" style="115" customWidth="1"/>
    <col min="1543" max="1543" width="7.37962962962963" style="115" customWidth="1"/>
    <col min="1544" max="1544" width="7.25" style="115" customWidth="1"/>
    <col min="1545" max="1545" width="5" style="115" customWidth="1"/>
    <col min="1546" max="1546" width="7.25" style="115" customWidth="1"/>
    <col min="1547" max="1547" width="5" style="115" customWidth="1"/>
    <col min="1548" max="1548" width="3.25" style="115" customWidth="1"/>
    <col min="1549" max="1792" width="9" style="115"/>
    <col min="1793" max="1793" width="2.87962962962963" style="115" customWidth="1"/>
    <col min="1794" max="1794" width="7.25" style="115" customWidth="1"/>
    <col min="1795" max="1795" width="7.12962962962963" style="115" customWidth="1"/>
    <col min="1796" max="1796" width="1.37962962962963" style="115" customWidth="1"/>
    <col min="1797" max="1797" width="34.3796296296296" style="115" customWidth="1"/>
    <col min="1798" max="1798" width="3.62962962962963" style="115" customWidth="1"/>
    <col min="1799" max="1799" width="7.37962962962963" style="115" customWidth="1"/>
    <col min="1800" max="1800" width="7.25" style="115" customWidth="1"/>
    <col min="1801" max="1801" width="5" style="115" customWidth="1"/>
    <col min="1802" max="1802" width="7.25" style="115" customWidth="1"/>
    <col min="1803" max="1803" width="5" style="115" customWidth="1"/>
    <col min="1804" max="1804" width="3.25" style="115" customWidth="1"/>
    <col min="1805" max="2048" width="9" style="115"/>
    <col min="2049" max="2049" width="2.87962962962963" style="115" customWidth="1"/>
    <col min="2050" max="2050" width="7.25" style="115" customWidth="1"/>
    <col min="2051" max="2051" width="7.12962962962963" style="115" customWidth="1"/>
    <col min="2052" max="2052" width="1.37962962962963" style="115" customWidth="1"/>
    <col min="2053" max="2053" width="34.3796296296296" style="115" customWidth="1"/>
    <col min="2054" max="2054" width="3.62962962962963" style="115" customWidth="1"/>
    <col min="2055" max="2055" width="7.37962962962963" style="115" customWidth="1"/>
    <col min="2056" max="2056" width="7.25" style="115" customWidth="1"/>
    <col min="2057" max="2057" width="5" style="115" customWidth="1"/>
    <col min="2058" max="2058" width="7.25" style="115" customWidth="1"/>
    <col min="2059" max="2059" width="5" style="115" customWidth="1"/>
    <col min="2060" max="2060" width="3.25" style="115" customWidth="1"/>
    <col min="2061" max="2304" width="9" style="115"/>
    <col min="2305" max="2305" width="2.87962962962963" style="115" customWidth="1"/>
    <col min="2306" max="2306" width="7.25" style="115" customWidth="1"/>
    <col min="2307" max="2307" width="7.12962962962963" style="115" customWidth="1"/>
    <col min="2308" max="2308" width="1.37962962962963" style="115" customWidth="1"/>
    <col min="2309" max="2309" width="34.3796296296296" style="115" customWidth="1"/>
    <col min="2310" max="2310" width="3.62962962962963" style="115" customWidth="1"/>
    <col min="2311" max="2311" width="7.37962962962963" style="115" customWidth="1"/>
    <col min="2312" max="2312" width="7.25" style="115" customWidth="1"/>
    <col min="2313" max="2313" width="5" style="115" customWidth="1"/>
    <col min="2314" max="2314" width="7.25" style="115" customWidth="1"/>
    <col min="2315" max="2315" width="5" style="115" customWidth="1"/>
    <col min="2316" max="2316" width="3.25" style="115" customWidth="1"/>
    <col min="2317" max="2560" width="9" style="115"/>
    <col min="2561" max="2561" width="2.87962962962963" style="115" customWidth="1"/>
    <col min="2562" max="2562" width="7.25" style="115" customWidth="1"/>
    <col min="2563" max="2563" width="7.12962962962963" style="115" customWidth="1"/>
    <col min="2564" max="2564" width="1.37962962962963" style="115" customWidth="1"/>
    <col min="2565" max="2565" width="34.3796296296296" style="115" customWidth="1"/>
    <col min="2566" max="2566" width="3.62962962962963" style="115" customWidth="1"/>
    <col min="2567" max="2567" width="7.37962962962963" style="115" customWidth="1"/>
    <col min="2568" max="2568" width="7.25" style="115" customWidth="1"/>
    <col min="2569" max="2569" width="5" style="115" customWidth="1"/>
    <col min="2570" max="2570" width="7.25" style="115" customWidth="1"/>
    <col min="2571" max="2571" width="5" style="115" customWidth="1"/>
    <col min="2572" max="2572" width="3.25" style="115" customWidth="1"/>
    <col min="2573" max="2816" width="9" style="115"/>
    <col min="2817" max="2817" width="2.87962962962963" style="115" customWidth="1"/>
    <col min="2818" max="2818" width="7.25" style="115" customWidth="1"/>
    <col min="2819" max="2819" width="7.12962962962963" style="115" customWidth="1"/>
    <col min="2820" max="2820" width="1.37962962962963" style="115" customWidth="1"/>
    <col min="2821" max="2821" width="34.3796296296296" style="115" customWidth="1"/>
    <col min="2822" max="2822" width="3.62962962962963" style="115" customWidth="1"/>
    <col min="2823" max="2823" width="7.37962962962963" style="115" customWidth="1"/>
    <col min="2824" max="2824" width="7.25" style="115" customWidth="1"/>
    <col min="2825" max="2825" width="5" style="115" customWidth="1"/>
    <col min="2826" max="2826" width="7.25" style="115" customWidth="1"/>
    <col min="2827" max="2827" width="5" style="115" customWidth="1"/>
    <col min="2828" max="2828" width="3.25" style="115" customWidth="1"/>
    <col min="2829" max="3072" width="9" style="115"/>
    <col min="3073" max="3073" width="2.87962962962963" style="115" customWidth="1"/>
    <col min="3074" max="3074" width="7.25" style="115" customWidth="1"/>
    <col min="3075" max="3075" width="7.12962962962963" style="115" customWidth="1"/>
    <col min="3076" max="3076" width="1.37962962962963" style="115" customWidth="1"/>
    <col min="3077" max="3077" width="34.3796296296296" style="115" customWidth="1"/>
    <col min="3078" max="3078" width="3.62962962962963" style="115" customWidth="1"/>
    <col min="3079" max="3079" width="7.37962962962963" style="115" customWidth="1"/>
    <col min="3080" max="3080" width="7.25" style="115" customWidth="1"/>
    <col min="3081" max="3081" width="5" style="115" customWidth="1"/>
    <col min="3082" max="3082" width="7.25" style="115" customWidth="1"/>
    <col min="3083" max="3083" width="5" style="115" customWidth="1"/>
    <col min="3084" max="3084" width="3.25" style="115" customWidth="1"/>
    <col min="3085" max="3328" width="9" style="115"/>
    <col min="3329" max="3329" width="2.87962962962963" style="115" customWidth="1"/>
    <col min="3330" max="3330" width="7.25" style="115" customWidth="1"/>
    <col min="3331" max="3331" width="7.12962962962963" style="115" customWidth="1"/>
    <col min="3332" max="3332" width="1.37962962962963" style="115" customWidth="1"/>
    <col min="3333" max="3333" width="34.3796296296296" style="115" customWidth="1"/>
    <col min="3334" max="3334" width="3.62962962962963" style="115" customWidth="1"/>
    <col min="3335" max="3335" width="7.37962962962963" style="115" customWidth="1"/>
    <col min="3336" max="3336" width="7.25" style="115" customWidth="1"/>
    <col min="3337" max="3337" width="5" style="115" customWidth="1"/>
    <col min="3338" max="3338" width="7.25" style="115" customWidth="1"/>
    <col min="3339" max="3339" width="5" style="115" customWidth="1"/>
    <col min="3340" max="3340" width="3.25" style="115" customWidth="1"/>
    <col min="3341" max="3584" width="9" style="115"/>
    <col min="3585" max="3585" width="2.87962962962963" style="115" customWidth="1"/>
    <col min="3586" max="3586" width="7.25" style="115" customWidth="1"/>
    <col min="3587" max="3587" width="7.12962962962963" style="115" customWidth="1"/>
    <col min="3588" max="3588" width="1.37962962962963" style="115" customWidth="1"/>
    <col min="3589" max="3589" width="34.3796296296296" style="115" customWidth="1"/>
    <col min="3590" max="3590" width="3.62962962962963" style="115" customWidth="1"/>
    <col min="3591" max="3591" width="7.37962962962963" style="115" customWidth="1"/>
    <col min="3592" max="3592" width="7.25" style="115" customWidth="1"/>
    <col min="3593" max="3593" width="5" style="115" customWidth="1"/>
    <col min="3594" max="3594" width="7.25" style="115" customWidth="1"/>
    <col min="3595" max="3595" width="5" style="115" customWidth="1"/>
    <col min="3596" max="3596" width="3.25" style="115" customWidth="1"/>
    <col min="3597" max="3840" width="9" style="115"/>
    <col min="3841" max="3841" width="2.87962962962963" style="115" customWidth="1"/>
    <col min="3842" max="3842" width="7.25" style="115" customWidth="1"/>
    <col min="3843" max="3843" width="7.12962962962963" style="115" customWidth="1"/>
    <col min="3844" max="3844" width="1.37962962962963" style="115" customWidth="1"/>
    <col min="3845" max="3845" width="34.3796296296296" style="115" customWidth="1"/>
    <col min="3846" max="3846" width="3.62962962962963" style="115" customWidth="1"/>
    <col min="3847" max="3847" width="7.37962962962963" style="115" customWidth="1"/>
    <col min="3848" max="3848" width="7.25" style="115" customWidth="1"/>
    <col min="3849" max="3849" width="5" style="115" customWidth="1"/>
    <col min="3850" max="3850" width="7.25" style="115" customWidth="1"/>
    <col min="3851" max="3851" width="5" style="115" customWidth="1"/>
    <col min="3852" max="3852" width="3.25" style="115" customWidth="1"/>
    <col min="3853" max="4096" width="9" style="115"/>
    <col min="4097" max="4097" width="2.87962962962963" style="115" customWidth="1"/>
    <col min="4098" max="4098" width="7.25" style="115" customWidth="1"/>
    <col min="4099" max="4099" width="7.12962962962963" style="115" customWidth="1"/>
    <col min="4100" max="4100" width="1.37962962962963" style="115" customWidth="1"/>
    <col min="4101" max="4101" width="34.3796296296296" style="115" customWidth="1"/>
    <col min="4102" max="4102" width="3.62962962962963" style="115" customWidth="1"/>
    <col min="4103" max="4103" width="7.37962962962963" style="115" customWidth="1"/>
    <col min="4104" max="4104" width="7.25" style="115" customWidth="1"/>
    <col min="4105" max="4105" width="5" style="115" customWidth="1"/>
    <col min="4106" max="4106" width="7.25" style="115" customWidth="1"/>
    <col min="4107" max="4107" width="5" style="115" customWidth="1"/>
    <col min="4108" max="4108" width="3.25" style="115" customWidth="1"/>
    <col min="4109" max="4352" width="9" style="115"/>
    <col min="4353" max="4353" width="2.87962962962963" style="115" customWidth="1"/>
    <col min="4354" max="4354" width="7.25" style="115" customWidth="1"/>
    <col min="4355" max="4355" width="7.12962962962963" style="115" customWidth="1"/>
    <col min="4356" max="4356" width="1.37962962962963" style="115" customWidth="1"/>
    <col min="4357" max="4357" width="34.3796296296296" style="115" customWidth="1"/>
    <col min="4358" max="4358" width="3.62962962962963" style="115" customWidth="1"/>
    <col min="4359" max="4359" width="7.37962962962963" style="115" customWidth="1"/>
    <col min="4360" max="4360" width="7.25" style="115" customWidth="1"/>
    <col min="4361" max="4361" width="5" style="115" customWidth="1"/>
    <col min="4362" max="4362" width="7.25" style="115" customWidth="1"/>
    <col min="4363" max="4363" width="5" style="115" customWidth="1"/>
    <col min="4364" max="4364" width="3.25" style="115" customWidth="1"/>
    <col min="4365" max="4608" width="9" style="115"/>
    <col min="4609" max="4609" width="2.87962962962963" style="115" customWidth="1"/>
    <col min="4610" max="4610" width="7.25" style="115" customWidth="1"/>
    <col min="4611" max="4611" width="7.12962962962963" style="115" customWidth="1"/>
    <col min="4612" max="4612" width="1.37962962962963" style="115" customWidth="1"/>
    <col min="4613" max="4613" width="34.3796296296296" style="115" customWidth="1"/>
    <col min="4614" max="4614" width="3.62962962962963" style="115" customWidth="1"/>
    <col min="4615" max="4615" width="7.37962962962963" style="115" customWidth="1"/>
    <col min="4616" max="4616" width="7.25" style="115" customWidth="1"/>
    <col min="4617" max="4617" width="5" style="115" customWidth="1"/>
    <col min="4618" max="4618" width="7.25" style="115" customWidth="1"/>
    <col min="4619" max="4619" width="5" style="115" customWidth="1"/>
    <col min="4620" max="4620" width="3.25" style="115" customWidth="1"/>
    <col min="4621" max="4864" width="9" style="115"/>
    <col min="4865" max="4865" width="2.87962962962963" style="115" customWidth="1"/>
    <col min="4866" max="4866" width="7.25" style="115" customWidth="1"/>
    <col min="4867" max="4867" width="7.12962962962963" style="115" customWidth="1"/>
    <col min="4868" max="4868" width="1.37962962962963" style="115" customWidth="1"/>
    <col min="4869" max="4869" width="34.3796296296296" style="115" customWidth="1"/>
    <col min="4870" max="4870" width="3.62962962962963" style="115" customWidth="1"/>
    <col min="4871" max="4871" width="7.37962962962963" style="115" customWidth="1"/>
    <col min="4872" max="4872" width="7.25" style="115" customWidth="1"/>
    <col min="4873" max="4873" width="5" style="115" customWidth="1"/>
    <col min="4874" max="4874" width="7.25" style="115" customWidth="1"/>
    <col min="4875" max="4875" width="5" style="115" customWidth="1"/>
    <col min="4876" max="4876" width="3.25" style="115" customWidth="1"/>
    <col min="4877" max="5120" width="9" style="115"/>
    <col min="5121" max="5121" width="2.87962962962963" style="115" customWidth="1"/>
    <col min="5122" max="5122" width="7.25" style="115" customWidth="1"/>
    <col min="5123" max="5123" width="7.12962962962963" style="115" customWidth="1"/>
    <col min="5124" max="5124" width="1.37962962962963" style="115" customWidth="1"/>
    <col min="5125" max="5125" width="34.3796296296296" style="115" customWidth="1"/>
    <col min="5126" max="5126" width="3.62962962962963" style="115" customWidth="1"/>
    <col min="5127" max="5127" width="7.37962962962963" style="115" customWidth="1"/>
    <col min="5128" max="5128" width="7.25" style="115" customWidth="1"/>
    <col min="5129" max="5129" width="5" style="115" customWidth="1"/>
    <col min="5130" max="5130" width="7.25" style="115" customWidth="1"/>
    <col min="5131" max="5131" width="5" style="115" customWidth="1"/>
    <col min="5132" max="5132" width="3.25" style="115" customWidth="1"/>
    <col min="5133" max="5376" width="9" style="115"/>
    <col min="5377" max="5377" width="2.87962962962963" style="115" customWidth="1"/>
    <col min="5378" max="5378" width="7.25" style="115" customWidth="1"/>
    <col min="5379" max="5379" width="7.12962962962963" style="115" customWidth="1"/>
    <col min="5380" max="5380" width="1.37962962962963" style="115" customWidth="1"/>
    <col min="5381" max="5381" width="34.3796296296296" style="115" customWidth="1"/>
    <col min="5382" max="5382" width="3.62962962962963" style="115" customWidth="1"/>
    <col min="5383" max="5383" width="7.37962962962963" style="115" customWidth="1"/>
    <col min="5384" max="5384" width="7.25" style="115" customWidth="1"/>
    <col min="5385" max="5385" width="5" style="115" customWidth="1"/>
    <col min="5386" max="5386" width="7.25" style="115" customWidth="1"/>
    <col min="5387" max="5387" width="5" style="115" customWidth="1"/>
    <col min="5388" max="5388" width="3.25" style="115" customWidth="1"/>
    <col min="5389" max="5632" width="9" style="115"/>
    <col min="5633" max="5633" width="2.87962962962963" style="115" customWidth="1"/>
    <col min="5634" max="5634" width="7.25" style="115" customWidth="1"/>
    <col min="5635" max="5635" width="7.12962962962963" style="115" customWidth="1"/>
    <col min="5636" max="5636" width="1.37962962962963" style="115" customWidth="1"/>
    <col min="5637" max="5637" width="34.3796296296296" style="115" customWidth="1"/>
    <col min="5638" max="5638" width="3.62962962962963" style="115" customWidth="1"/>
    <col min="5639" max="5639" width="7.37962962962963" style="115" customWidth="1"/>
    <col min="5640" max="5640" width="7.25" style="115" customWidth="1"/>
    <col min="5641" max="5641" width="5" style="115" customWidth="1"/>
    <col min="5642" max="5642" width="7.25" style="115" customWidth="1"/>
    <col min="5643" max="5643" width="5" style="115" customWidth="1"/>
    <col min="5644" max="5644" width="3.25" style="115" customWidth="1"/>
    <col min="5645" max="5888" width="9" style="115"/>
    <col min="5889" max="5889" width="2.87962962962963" style="115" customWidth="1"/>
    <col min="5890" max="5890" width="7.25" style="115" customWidth="1"/>
    <col min="5891" max="5891" width="7.12962962962963" style="115" customWidth="1"/>
    <col min="5892" max="5892" width="1.37962962962963" style="115" customWidth="1"/>
    <col min="5893" max="5893" width="34.3796296296296" style="115" customWidth="1"/>
    <col min="5894" max="5894" width="3.62962962962963" style="115" customWidth="1"/>
    <col min="5895" max="5895" width="7.37962962962963" style="115" customWidth="1"/>
    <col min="5896" max="5896" width="7.25" style="115" customWidth="1"/>
    <col min="5897" max="5897" width="5" style="115" customWidth="1"/>
    <col min="5898" max="5898" width="7.25" style="115" customWidth="1"/>
    <col min="5899" max="5899" width="5" style="115" customWidth="1"/>
    <col min="5900" max="5900" width="3.25" style="115" customWidth="1"/>
    <col min="5901" max="6144" width="9" style="115"/>
    <col min="6145" max="6145" width="2.87962962962963" style="115" customWidth="1"/>
    <col min="6146" max="6146" width="7.25" style="115" customWidth="1"/>
    <col min="6147" max="6147" width="7.12962962962963" style="115" customWidth="1"/>
    <col min="6148" max="6148" width="1.37962962962963" style="115" customWidth="1"/>
    <col min="6149" max="6149" width="34.3796296296296" style="115" customWidth="1"/>
    <col min="6150" max="6150" width="3.62962962962963" style="115" customWidth="1"/>
    <col min="6151" max="6151" width="7.37962962962963" style="115" customWidth="1"/>
    <col min="6152" max="6152" width="7.25" style="115" customWidth="1"/>
    <col min="6153" max="6153" width="5" style="115" customWidth="1"/>
    <col min="6154" max="6154" width="7.25" style="115" customWidth="1"/>
    <col min="6155" max="6155" width="5" style="115" customWidth="1"/>
    <col min="6156" max="6156" width="3.25" style="115" customWidth="1"/>
    <col min="6157" max="6400" width="9" style="115"/>
    <col min="6401" max="6401" width="2.87962962962963" style="115" customWidth="1"/>
    <col min="6402" max="6402" width="7.25" style="115" customWidth="1"/>
    <col min="6403" max="6403" width="7.12962962962963" style="115" customWidth="1"/>
    <col min="6404" max="6404" width="1.37962962962963" style="115" customWidth="1"/>
    <col min="6405" max="6405" width="34.3796296296296" style="115" customWidth="1"/>
    <col min="6406" max="6406" width="3.62962962962963" style="115" customWidth="1"/>
    <col min="6407" max="6407" width="7.37962962962963" style="115" customWidth="1"/>
    <col min="6408" max="6408" width="7.25" style="115" customWidth="1"/>
    <col min="6409" max="6409" width="5" style="115" customWidth="1"/>
    <col min="6410" max="6410" width="7.25" style="115" customWidth="1"/>
    <col min="6411" max="6411" width="5" style="115" customWidth="1"/>
    <col min="6412" max="6412" width="3.25" style="115" customWidth="1"/>
    <col min="6413" max="6656" width="9" style="115"/>
    <col min="6657" max="6657" width="2.87962962962963" style="115" customWidth="1"/>
    <col min="6658" max="6658" width="7.25" style="115" customWidth="1"/>
    <col min="6659" max="6659" width="7.12962962962963" style="115" customWidth="1"/>
    <col min="6660" max="6660" width="1.37962962962963" style="115" customWidth="1"/>
    <col min="6661" max="6661" width="34.3796296296296" style="115" customWidth="1"/>
    <col min="6662" max="6662" width="3.62962962962963" style="115" customWidth="1"/>
    <col min="6663" max="6663" width="7.37962962962963" style="115" customWidth="1"/>
    <col min="6664" max="6664" width="7.25" style="115" customWidth="1"/>
    <col min="6665" max="6665" width="5" style="115" customWidth="1"/>
    <col min="6666" max="6666" width="7.25" style="115" customWidth="1"/>
    <col min="6667" max="6667" width="5" style="115" customWidth="1"/>
    <col min="6668" max="6668" width="3.25" style="115" customWidth="1"/>
    <col min="6669" max="6912" width="9" style="115"/>
    <col min="6913" max="6913" width="2.87962962962963" style="115" customWidth="1"/>
    <col min="6914" max="6914" width="7.25" style="115" customWidth="1"/>
    <col min="6915" max="6915" width="7.12962962962963" style="115" customWidth="1"/>
    <col min="6916" max="6916" width="1.37962962962963" style="115" customWidth="1"/>
    <col min="6917" max="6917" width="34.3796296296296" style="115" customWidth="1"/>
    <col min="6918" max="6918" width="3.62962962962963" style="115" customWidth="1"/>
    <col min="6919" max="6919" width="7.37962962962963" style="115" customWidth="1"/>
    <col min="6920" max="6920" width="7.25" style="115" customWidth="1"/>
    <col min="6921" max="6921" width="5" style="115" customWidth="1"/>
    <col min="6922" max="6922" width="7.25" style="115" customWidth="1"/>
    <col min="6923" max="6923" width="5" style="115" customWidth="1"/>
    <col min="6924" max="6924" width="3.25" style="115" customWidth="1"/>
    <col min="6925" max="7168" width="9" style="115"/>
    <col min="7169" max="7169" width="2.87962962962963" style="115" customWidth="1"/>
    <col min="7170" max="7170" width="7.25" style="115" customWidth="1"/>
    <col min="7171" max="7171" width="7.12962962962963" style="115" customWidth="1"/>
    <col min="7172" max="7172" width="1.37962962962963" style="115" customWidth="1"/>
    <col min="7173" max="7173" width="34.3796296296296" style="115" customWidth="1"/>
    <col min="7174" max="7174" width="3.62962962962963" style="115" customWidth="1"/>
    <col min="7175" max="7175" width="7.37962962962963" style="115" customWidth="1"/>
    <col min="7176" max="7176" width="7.25" style="115" customWidth="1"/>
    <col min="7177" max="7177" width="5" style="115" customWidth="1"/>
    <col min="7178" max="7178" width="7.25" style="115" customWidth="1"/>
    <col min="7179" max="7179" width="5" style="115" customWidth="1"/>
    <col min="7180" max="7180" width="3.25" style="115" customWidth="1"/>
    <col min="7181" max="7424" width="9" style="115"/>
    <col min="7425" max="7425" width="2.87962962962963" style="115" customWidth="1"/>
    <col min="7426" max="7426" width="7.25" style="115" customWidth="1"/>
    <col min="7427" max="7427" width="7.12962962962963" style="115" customWidth="1"/>
    <col min="7428" max="7428" width="1.37962962962963" style="115" customWidth="1"/>
    <col min="7429" max="7429" width="34.3796296296296" style="115" customWidth="1"/>
    <col min="7430" max="7430" width="3.62962962962963" style="115" customWidth="1"/>
    <col min="7431" max="7431" width="7.37962962962963" style="115" customWidth="1"/>
    <col min="7432" max="7432" width="7.25" style="115" customWidth="1"/>
    <col min="7433" max="7433" width="5" style="115" customWidth="1"/>
    <col min="7434" max="7434" width="7.25" style="115" customWidth="1"/>
    <col min="7435" max="7435" width="5" style="115" customWidth="1"/>
    <col min="7436" max="7436" width="3.25" style="115" customWidth="1"/>
    <col min="7437" max="7680" width="9" style="115"/>
    <col min="7681" max="7681" width="2.87962962962963" style="115" customWidth="1"/>
    <col min="7682" max="7682" width="7.25" style="115" customWidth="1"/>
    <col min="7683" max="7683" width="7.12962962962963" style="115" customWidth="1"/>
    <col min="7684" max="7684" width="1.37962962962963" style="115" customWidth="1"/>
    <col min="7685" max="7685" width="34.3796296296296" style="115" customWidth="1"/>
    <col min="7686" max="7686" width="3.62962962962963" style="115" customWidth="1"/>
    <col min="7687" max="7687" width="7.37962962962963" style="115" customWidth="1"/>
    <col min="7688" max="7688" width="7.25" style="115" customWidth="1"/>
    <col min="7689" max="7689" width="5" style="115" customWidth="1"/>
    <col min="7690" max="7690" width="7.25" style="115" customWidth="1"/>
    <col min="7691" max="7691" width="5" style="115" customWidth="1"/>
    <col min="7692" max="7692" width="3.25" style="115" customWidth="1"/>
    <col min="7693" max="7936" width="9" style="115"/>
    <col min="7937" max="7937" width="2.87962962962963" style="115" customWidth="1"/>
    <col min="7938" max="7938" width="7.25" style="115" customWidth="1"/>
    <col min="7939" max="7939" width="7.12962962962963" style="115" customWidth="1"/>
    <col min="7940" max="7940" width="1.37962962962963" style="115" customWidth="1"/>
    <col min="7941" max="7941" width="34.3796296296296" style="115" customWidth="1"/>
    <col min="7942" max="7942" width="3.62962962962963" style="115" customWidth="1"/>
    <col min="7943" max="7943" width="7.37962962962963" style="115" customWidth="1"/>
    <col min="7944" max="7944" width="7.25" style="115" customWidth="1"/>
    <col min="7945" max="7945" width="5" style="115" customWidth="1"/>
    <col min="7946" max="7946" width="7.25" style="115" customWidth="1"/>
    <col min="7947" max="7947" width="5" style="115" customWidth="1"/>
    <col min="7948" max="7948" width="3.25" style="115" customWidth="1"/>
    <col min="7949" max="8192" width="9" style="115"/>
    <col min="8193" max="8193" width="2.87962962962963" style="115" customWidth="1"/>
    <col min="8194" max="8194" width="7.25" style="115" customWidth="1"/>
    <col min="8195" max="8195" width="7.12962962962963" style="115" customWidth="1"/>
    <col min="8196" max="8196" width="1.37962962962963" style="115" customWidth="1"/>
    <col min="8197" max="8197" width="34.3796296296296" style="115" customWidth="1"/>
    <col min="8198" max="8198" width="3.62962962962963" style="115" customWidth="1"/>
    <col min="8199" max="8199" width="7.37962962962963" style="115" customWidth="1"/>
    <col min="8200" max="8200" width="7.25" style="115" customWidth="1"/>
    <col min="8201" max="8201" width="5" style="115" customWidth="1"/>
    <col min="8202" max="8202" width="7.25" style="115" customWidth="1"/>
    <col min="8203" max="8203" width="5" style="115" customWidth="1"/>
    <col min="8204" max="8204" width="3.25" style="115" customWidth="1"/>
    <col min="8205" max="8448" width="9" style="115"/>
    <col min="8449" max="8449" width="2.87962962962963" style="115" customWidth="1"/>
    <col min="8450" max="8450" width="7.25" style="115" customWidth="1"/>
    <col min="8451" max="8451" width="7.12962962962963" style="115" customWidth="1"/>
    <col min="8452" max="8452" width="1.37962962962963" style="115" customWidth="1"/>
    <col min="8453" max="8453" width="34.3796296296296" style="115" customWidth="1"/>
    <col min="8454" max="8454" width="3.62962962962963" style="115" customWidth="1"/>
    <col min="8455" max="8455" width="7.37962962962963" style="115" customWidth="1"/>
    <col min="8456" max="8456" width="7.25" style="115" customWidth="1"/>
    <col min="8457" max="8457" width="5" style="115" customWidth="1"/>
    <col min="8458" max="8458" width="7.25" style="115" customWidth="1"/>
    <col min="8459" max="8459" width="5" style="115" customWidth="1"/>
    <col min="8460" max="8460" width="3.25" style="115" customWidth="1"/>
    <col min="8461" max="8704" width="9" style="115"/>
    <col min="8705" max="8705" width="2.87962962962963" style="115" customWidth="1"/>
    <col min="8706" max="8706" width="7.25" style="115" customWidth="1"/>
    <col min="8707" max="8707" width="7.12962962962963" style="115" customWidth="1"/>
    <col min="8708" max="8708" width="1.37962962962963" style="115" customWidth="1"/>
    <col min="8709" max="8709" width="34.3796296296296" style="115" customWidth="1"/>
    <col min="8710" max="8710" width="3.62962962962963" style="115" customWidth="1"/>
    <col min="8711" max="8711" width="7.37962962962963" style="115" customWidth="1"/>
    <col min="8712" max="8712" width="7.25" style="115" customWidth="1"/>
    <col min="8713" max="8713" width="5" style="115" customWidth="1"/>
    <col min="8714" max="8714" width="7.25" style="115" customWidth="1"/>
    <col min="8715" max="8715" width="5" style="115" customWidth="1"/>
    <col min="8716" max="8716" width="3.25" style="115" customWidth="1"/>
    <col min="8717" max="8960" width="9" style="115"/>
    <col min="8961" max="8961" width="2.87962962962963" style="115" customWidth="1"/>
    <col min="8962" max="8962" width="7.25" style="115" customWidth="1"/>
    <col min="8963" max="8963" width="7.12962962962963" style="115" customWidth="1"/>
    <col min="8964" max="8964" width="1.37962962962963" style="115" customWidth="1"/>
    <col min="8965" max="8965" width="34.3796296296296" style="115" customWidth="1"/>
    <col min="8966" max="8966" width="3.62962962962963" style="115" customWidth="1"/>
    <col min="8967" max="8967" width="7.37962962962963" style="115" customWidth="1"/>
    <col min="8968" max="8968" width="7.25" style="115" customWidth="1"/>
    <col min="8969" max="8969" width="5" style="115" customWidth="1"/>
    <col min="8970" max="8970" width="7.25" style="115" customWidth="1"/>
    <col min="8971" max="8971" width="5" style="115" customWidth="1"/>
    <col min="8972" max="8972" width="3.25" style="115" customWidth="1"/>
    <col min="8973" max="9216" width="9" style="115"/>
    <col min="9217" max="9217" width="2.87962962962963" style="115" customWidth="1"/>
    <col min="9218" max="9218" width="7.25" style="115" customWidth="1"/>
    <col min="9219" max="9219" width="7.12962962962963" style="115" customWidth="1"/>
    <col min="9220" max="9220" width="1.37962962962963" style="115" customWidth="1"/>
    <col min="9221" max="9221" width="34.3796296296296" style="115" customWidth="1"/>
    <col min="9222" max="9222" width="3.62962962962963" style="115" customWidth="1"/>
    <col min="9223" max="9223" width="7.37962962962963" style="115" customWidth="1"/>
    <col min="9224" max="9224" width="7.25" style="115" customWidth="1"/>
    <col min="9225" max="9225" width="5" style="115" customWidth="1"/>
    <col min="9226" max="9226" width="7.25" style="115" customWidth="1"/>
    <col min="9227" max="9227" width="5" style="115" customWidth="1"/>
    <col min="9228" max="9228" width="3.25" style="115" customWidth="1"/>
    <col min="9229" max="9472" width="9" style="115"/>
    <col min="9473" max="9473" width="2.87962962962963" style="115" customWidth="1"/>
    <col min="9474" max="9474" width="7.25" style="115" customWidth="1"/>
    <col min="9475" max="9475" width="7.12962962962963" style="115" customWidth="1"/>
    <col min="9476" max="9476" width="1.37962962962963" style="115" customWidth="1"/>
    <col min="9477" max="9477" width="34.3796296296296" style="115" customWidth="1"/>
    <col min="9478" max="9478" width="3.62962962962963" style="115" customWidth="1"/>
    <col min="9479" max="9479" width="7.37962962962963" style="115" customWidth="1"/>
    <col min="9480" max="9480" width="7.25" style="115" customWidth="1"/>
    <col min="9481" max="9481" width="5" style="115" customWidth="1"/>
    <col min="9482" max="9482" width="7.25" style="115" customWidth="1"/>
    <col min="9483" max="9483" width="5" style="115" customWidth="1"/>
    <col min="9484" max="9484" width="3.25" style="115" customWidth="1"/>
    <col min="9485" max="9728" width="9" style="115"/>
    <col min="9729" max="9729" width="2.87962962962963" style="115" customWidth="1"/>
    <col min="9730" max="9730" width="7.25" style="115" customWidth="1"/>
    <col min="9731" max="9731" width="7.12962962962963" style="115" customWidth="1"/>
    <col min="9732" max="9732" width="1.37962962962963" style="115" customWidth="1"/>
    <col min="9733" max="9733" width="34.3796296296296" style="115" customWidth="1"/>
    <col min="9734" max="9734" width="3.62962962962963" style="115" customWidth="1"/>
    <col min="9735" max="9735" width="7.37962962962963" style="115" customWidth="1"/>
    <col min="9736" max="9736" width="7.25" style="115" customWidth="1"/>
    <col min="9737" max="9737" width="5" style="115" customWidth="1"/>
    <col min="9738" max="9738" width="7.25" style="115" customWidth="1"/>
    <col min="9739" max="9739" width="5" style="115" customWidth="1"/>
    <col min="9740" max="9740" width="3.25" style="115" customWidth="1"/>
    <col min="9741" max="9984" width="9" style="115"/>
    <col min="9985" max="9985" width="2.87962962962963" style="115" customWidth="1"/>
    <col min="9986" max="9986" width="7.25" style="115" customWidth="1"/>
    <col min="9987" max="9987" width="7.12962962962963" style="115" customWidth="1"/>
    <col min="9988" max="9988" width="1.37962962962963" style="115" customWidth="1"/>
    <col min="9989" max="9989" width="34.3796296296296" style="115" customWidth="1"/>
    <col min="9990" max="9990" width="3.62962962962963" style="115" customWidth="1"/>
    <col min="9991" max="9991" width="7.37962962962963" style="115" customWidth="1"/>
    <col min="9992" max="9992" width="7.25" style="115" customWidth="1"/>
    <col min="9993" max="9993" width="5" style="115" customWidth="1"/>
    <col min="9994" max="9994" width="7.25" style="115" customWidth="1"/>
    <col min="9995" max="9995" width="5" style="115" customWidth="1"/>
    <col min="9996" max="9996" width="3.25" style="115" customWidth="1"/>
    <col min="9997" max="10240" width="9" style="115"/>
    <col min="10241" max="10241" width="2.87962962962963" style="115" customWidth="1"/>
    <col min="10242" max="10242" width="7.25" style="115" customWidth="1"/>
    <col min="10243" max="10243" width="7.12962962962963" style="115" customWidth="1"/>
    <col min="10244" max="10244" width="1.37962962962963" style="115" customWidth="1"/>
    <col min="10245" max="10245" width="34.3796296296296" style="115" customWidth="1"/>
    <col min="10246" max="10246" width="3.62962962962963" style="115" customWidth="1"/>
    <col min="10247" max="10247" width="7.37962962962963" style="115" customWidth="1"/>
    <col min="10248" max="10248" width="7.25" style="115" customWidth="1"/>
    <col min="10249" max="10249" width="5" style="115" customWidth="1"/>
    <col min="10250" max="10250" width="7.25" style="115" customWidth="1"/>
    <col min="10251" max="10251" width="5" style="115" customWidth="1"/>
    <col min="10252" max="10252" width="3.25" style="115" customWidth="1"/>
    <col min="10253" max="10496" width="9" style="115"/>
    <col min="10497" max="10497" width="2.87962962962963" style="115" customWidth="1"/>
    <col min="10498" max="10498" width="7.25" style="115" customWidth="1"/>
    <col min="10499" max="10499" width="7.12962962962963" style="115" customWidth="1"/>
    <col min="10500" max="10500" width="1.37962962962963" style="115" customWidth="1"/>
    <col min="10501" max="10501" width="34.3796296296296" style="115" customWidth="1"/>
    <col min="10502" max="10502" width="3.62962962962963" style="115" customWidth="1"/>
    <col min="10503" max="10503" width="7.37962962962963" style="115" customWidth="1"/>
    <col min="10504" max="10504" width="7.25" style="115" customWidth="1"/>
    <col min="10505" max="10505" width="5" style="115" customWidth="1"/>
    <col min="10506" max="10506" width="7.25" style="115" customWidth="1"/>
    <col min="10507" max="10507" width="5" style="115" customWidth="1"/>
    <col min="10508" max="10508" width="3.25" style="115" customWidth="1"/>
    <col min="10509" max="10752" width="9" style="115"/>
    <col min="10753" max="10753" width="2.87962962962963" style="115" customWidth="1"/>
    <col min="10754" max="10754" width="7.25" style="115" customWidth="1"/>
    <col min="10755" max="10755" width="7.12962962962963" style="115" customWidth="1"/>
    <col min="10756" max="10756" width="1.37962962962963" style="115" customWidth="1"/>
    <col min="10757" max="10757" width="34.3796296296296" style="115" customWidth="1"/>
    <col min="10758" max="10758" width="3.62962962962963" style="115" customWidth="1"/>
    <col min="10759" max="10759" width="7.37962962962963" style="115" customWidth="1"/>
    <col min="10760" max="10760" width="7.25" style="115" customWidth="1"/>
    <col min="10761" max="10761" width="5" style="115" customWidth="1"/>
    <col min="10762" max="10762" width="7.25" style="115" customWidth="1"/>
    <col min="10763" max="10763" width="5" style="115" customWidth="1"/>
    <col min="10764" max="10764" width="3.25" style="115" customWidth="1"/>
    <col min="10765" max="11008" width="9" style="115"/>
    <col min="11009" max="11009" width="2.87962962962963" style="115" customWidth="1"/>
    <col min="11010" max="11010" width="7.25" style="115" customWidth="1"/>
    <col min="11011" max="11011" width="7.12962962962963" style="115" customWidth="1"/>
    <col min="11012" max="11012" width="1.37962962962963" style="115" customWidth="1"/>
    <col min="11013" max="11013" width="34.3796296296296" style="115" customWidth="1"/>
    <col min="11014" max="11014" width="3.62962962962963" style="115" customWidth="1"/>
    <col min="11015" max="11015" width="7.37962962962963" style="115" customWidth="1"/>
    <col min="11016" max="11016" width="7.25" style="115" customWidth="1"/>
    <col min="11017" max="11017" width="5" style="115" customWidth="1"/>
    <col min="11018" max="11018" width="7.25" style="115" customWidth="1"/>
    <col min="11019" max="11019" width="5" style="115" customWidth="1"/>
    <col min="11020" max="11020" width="3.25" style="115" customWidth="1"/>
    <col min="11021" max="11264" width="9" style="115"/>
    <col min="11265" max="11265" width="2.87962962962963" style="115" customWidth="1"/>
    <col min="11266" max="11266" width="7.25" style="115" customWidth="1"/>
    <col min="11267" max="11267" width="7.12962962962963" style="115" customWidth="1"/>
    <col min="11268" max="11268" width="1.37962962962963" style="115" customWidth="1"/>
    <col min="11269" max="11269" width="34.3796296296296" style="115" customWidth="1"/>
    <col min="11270" max="11270" width="3.62962962962963" style="115" customWidth="1"/>
    <col min="11271" max="11271" width="7.37962962962963" style="115" customWidth="1"/>
    <col min="11272" max="11272" width="7.25" style="115" customWidth="1"/>
    <col min="11273" max="11273" width="5" style="115" customWidth="1"/>
    <col min="11274" max="11274" width="7.25" style="115" customWidth="1"/>
    <col min="11275" max="11275" width="5" style="115" customWidth="1"/>
    <col min="11276" max="11276" width="3.25" style="115" customWidth="1"/>
    <col min="11277" max="11520" width="9" style="115"/>
    <col min="11521" max="11521" width="2.87962962962963" style="115" customWidth="1"/>
    <col min="11522" max="11522" width="7.25" style="115" customWidth="1"/>
    <col min="11523" max="11523" width="7.12962962962963" style="115" customWidth="1"/>
    <col min="11524" max="11524" width="1.37962962962963" style="115" customWidth="1"/>
    <col min="11525" max="11525" width="34.3796296296296" style="115" customWidth="1"/>
    <col min="11526" max="11526" width="3.62962962962963" style="115" customWidth="1"/>
    <col min="11527" max="11527" width="7.37962962962963" style="115" customWidth="1"/>
    <col min="11528" max="11528" width="7.25" style="115" customWidth="1"/>
    <col min="11529" max="11529" width="5" style="115" customWidth="1"/>
    <col min="11530" max="11530" width="7.25" style="115" customWidth="1"/>
    <col min="11531" max="11531" width="5" style="115" customWidth="1"/>
    <col min="11532" max="11532" width="3.25" style="115" customWidth="1"/>
    <col min="11533" max="11776" width="9" style="115"/>
    <col min="11777" max="11777" width="2.87962962962963" style="115" customWidth="1"/>
    <col min="11778" max="11778" width="7.25" style="115" customWidth="1"/>
    <col min="11779" max="11779" width="7.12962962962963" style="115" customWidth="1"/>
    <col min="11780" max="11780" width="1.37962962962963" style="115" customWidth="1"/>
    <col min="11781" max="11781" width="34.3796296296296" style="115" customWidth="1"/>
    <col min="11782" max="11782" width="3.62962962962963" style="115" customWidth="1"/>
    <col min="11783" max="11783" width="7.37962962962963" style="115" customWidth="1"/>
    <col min="11784" max="11784" width="7.25" style="115" customWidth="1"/>
    <col min="11785" max="11785" width="5" style="115" customWidth="1"/>
    <col min="11786" max="11786" width="7.25" style="115" customWidth="1"/>
    <col min="11787" max="11787" width="5" style="115" customWidth="1"/>
    <col min="11788" max="11788" width="3.25" style="115" customWidth="1"/>
    <col min="11789" max="12032" width="9" style="115"/>
    <col min="12033" max="12033" width="2.87962962962963" style="115" customWidth="1"/>
    <col min="12034" max="12034" width="7.25" style="115" customWidth="1"/>
    <col min="12035" max="12035" width="7.12962962962963" style="115" customWidth="1"/>
    <col min="12036" max="12036" width="1.37962962962963" style="115" customWidth="1"/>
    <col min="12037" max="12037" width="34.3796296296296" style="115" customWidth="1"/>
    <col min="12038" max="12038" width="3.62962962962963" style="115" customWidth="1"/>
    <col min="12039" max="12039" width="7.37962962962963" style="115" customWidth="1"/>
    <col min="12040" max="12040" width="7.25" style="115" customWidth="1"/>
    <col min="12041" max="12041" width="5" style="115" customWidth="1"/>
    <col min="12042" max="12042" width="7.25" style="115" customWidth="1"/>
    <col min="12043" max="12043" width="5" style="115" customWidth="1"/>
    <col min="12044" max="12044" width="3.25" style="115" customWidth="1"/>
    <col min="12045" max="12288" width="9" style="115"/>
    <col min="12289" max="12289" width="2.87962962962963" style="115" customWidth="1"/>
    <col min="12290" max="12290" width="7.25" style="115" customWidth="1"/>
    <col min="12291" max="12291" width="7.12962962962963" style="115" customWidth="1"/>
    <col min="12292" max="12292" width="1.37962962962963" style="115" customWidth="1"/>
    <col min="12293" max="12293" width="34.3796296296296" style="115" customWidth="1"/>
    <col min="12294" max="12294" width="3.62962962962963" style="115" customWidth="1"/>
    <col min="12295" max="12295" width="7.37962962962963" style="115" customWidth="1"/>
    <col min="12296" max="12296" width="7.25" style="115" customWidth="1"/>
    <col min="12297" max="12297" width="5" style="115" customWidth="1"/>
    <col min="12298" max="12298" width="7.25" style="115" customWidth="1"/>
    <col min="12299" max="12299" width="5" style="115" customWidth="1"/>
    <col min="12300" max="12300" width="3.25" style="115" customWidth="1"/>
    <col min="12301" max="12544" width="9" style="115"/>
    <col min="12545" max="12545" width="2.87962962962963" style="115" customWidth="1"/>
    <col min="12546" max="12546" width="7.25" style="115" customWidth="1"/>
    <col min="12547" max="12547" width="7.12962962962963" style="115" customWidth="1"/>
    <col min="12548" max="12548" width="1.37962962962963" style="115" customWidth="1"/>
    <col min="12549" max="12549" width="34.3796296296296" style="115" customWidth="1"/>
    <col min="12550" max="12550" width="3.62962962962963" style="115" customWidth="1"/>
    <col min="12551" max="12551" width="7.37962962962963" style="115" customWidth="1"/>
    <col min="12552" max="12552" width="7.25" style="115" customWidth="1"/>
    <col min="12553" max="12553" width="5" style="115" customWidth="1"/>
    <col min="12554" max="12554" width="7.25" style="115" customWidth="1"/>
    <col min="12555" max="12555" width="5" style="115" customWidth="1"/>
    <col min="12556" max="12556" width="3.25" style="115" customWidth="1"/>
    <col min="12557" max="12800" width="9" style="115"/>
    <col min="12801" max="12801" width="2.87962962962963" style="115" customWidth="1"/>
    <col min="12802" max="12802" width="7.25" style="115" customWidth="1"/>
    <col min="12803" max="12803" width="7.12962962962963" style="115" customWidth="1"/>
    <col min="12804" max="12804" width="1.37962962962963" style="115" customWidth="1"/>
    <col min="12805" max="12805" width="34.3796296296296" style="115" customWidth="1"/>
    <col min="12806" max="12806" width="3.62962962962963" style="115" customWidth="1"/>
    <col min="12807" max="12807" width="7.37962962962963" style="115" customWidth="1"/>
    <col min="12808" max="12808" width="7.25" style="115" customWidth="1"/>
    <col min="12809" max="12809" width="5" style="115" customWidth="1"/>
    <col min="12810" max="12810" width="7.25" style="115" customWidth="1"/>
    <col min="12811" max="12811" width="5" style="115" customWidth="1"/>
    <col min="12812" max="12812" width="3.25" style="115" customWidth="1"/>
    <col min="12813" max="13056" width="9" style="115"/>
    <col min="13057" max="13057" width="2.87962962962963" style="115" customWidth="1"/>
    <col min="13058" max="13058" width="7.25" style="115" customWidth="1"/>
    <col min="13059" max="13059" width="7.12962962962963" style="115" customWidth="1"/>
    <col min="13060" max="13060" width="1.37962962962963" style="115" customWidth="1"/>
    <col min="13061" max="13061" width="34.3796296296296" style="115" customWidth="1"/>
    <col min="13062" max="13062" width="3.62962962962963" style="115" customWidth="1"/>
    <col min="13063" max="13063" width="7.37962962962963" style="115" customWidth="1"/>
    <col min="13064" max="13064" width="7.25" style="115" customWidth="1"/>
    <col min="13065" max="13065" width="5" style="115" customWidth="1"/>
    <col min="13066" max="13066" width="7.25" style="115" customWidth="1"/>
    <col min="13067" max="13067" width="5" style="115" customWidth="1"/>
    <col min="13068" max="13068" width="3.25" style="115" customWidth="1"/>
    <col min="13069" max="13312" width="9" style="115"/>
    <col min="13313" max="13313" width="2.87962962962963" style="115" customWidth="1"/>
    <col min="13314" max="13314" width="7.25" style="115" customWidth="1"/>
    <col min="13315" max="13315" width="7.12962962962963" style="115" customWidth="1"/>
    <col min="13316" max="13316" width="1.37962962962963" style="115" customWidth="1"/>
    <col min="13317" max="13317" width="34.3796296296296" style="115" customWidth="1"/>
    <col min="13318" max="13318" width="3.62962962962963" style="115" customWidth="1"/>
    <col min="13319" max="13319" width="7.37962962962963" style="115" customWidth="1"/>
    <col min="13320" max="13320" width="7.25" style="115" customWidth="1"/>
    <col min="13321" max="13321" width="5" style="115" customWidth="1"/>
    <col min="13322" max="13322" width="7.25" style="115" customWidth="1"/>
    <col min="13323" max="13323" width="5" style="115" customWidth="1"/>
    <col min="13324" max="13324" width="3.25" style="115" customWidth="1"/>
    <col min="13325" max="13568" width="9" style="115"/>
    <col min="13569" max="13569" width="2.87962962962963" style="115" customWidth="1"/>
    <col min="13570" max="13570" width="7.25" style="115" customWidth="1"/>
    <col min="13571" max="13571" width="7.12962962962963" style="115" customWidth="1"/>
    <col min="13572" max="13572" width="1.37962962962963" style="115" customWidth="1"/>
    <col min="13573" max="13573" width="34.3796296296296" style="115" customWidth="1"/>
    <col min="13574" max="13574" width="3.62962962962963" style="115" customWidth="1"/>
    <col min="13575" max="13575" width="7.37962962962963" style="115" customWidth="1"/>
    <col min="13576" max="13576" width="7.25" style="115" customWidth="1"/>
    <col min="13577" max="13577" width="5" style="115" customWidth="1"/>
    <col min="13578" max="13578" width="7.25" style="115" customWidth="1"/>
    <col min="13579" max="13579" width="5" style="115" customWidth="1"/>
    <col min="13580" max="13580" width="3.25" style="115" customWidth="1"/>
    <col min="13581" max="13824" width="9" style="115"/>
    <col min="13825" max="13825" width="2.87962962962963" style="115" customWidth="1"/>
    <col min="13826" max="13826" width="7.25" style="115" customWidth="1"/>
    <col min="13827" max="13827" width="7.12962962962963" style="115" customWidth="1"/>
    <col min="13828" max="13828" width="1.37962962962963" style="115" customWidth="1"/>
    <col min="13829" max="13829" width="34.3796296296296" style="115" customWidth="1"/>
    <col min="13830" max="13830" width="3.62962962962963" style="115" customWidth="1"/>
    <col min="13831" max="13831" width="7.37962962962963" style="115" customWidth="1"/>
    <col min="13832" max="13832" width="7.25" style="115" customWidth="1"/>
    <col min="13833" max="13833" width="5" style="115" customWidth="1"/>
    <col min="13834" max="13834" width="7.25" style="115" customWidth="1"/>
    <col min="13835" max="13835" width="5" style="115" customWidth="1"/>
    <col min="13836" max="13836" width="3.25" style="115" customWidth="1"/>
    <col min="13837" max="14080" width="9" style="115"/>
    <col min="14081" max="14081" width="2.87962962962963" style="115" customWidth="1"/>
    <col min="14082" max="14082" width="7.25" style="115" customWidth="1"/>
    <col min="14083" max="14083" width="7.12962962962963" style="115" customWidth="1"/>
    <col min="14084" max="14084" width="1.37962962962963" style="115" customWidth="1"/>
    <col min="14085" max="14085" width="34.3796296296296" style="115" customWidth="1"/>
    <col min="14086" max="14086" width="3.62962962962963" style="115" customWidth="1"/>
    <col min="14087" max="14087" width="7.37962962962963" style="115" customWidth="1"/>
    <col min="14088" max="14088" width="7.25" style="115" customWidth="1"/>
    <col min="14089" max="14089" width="5" style="115" customWidth="1"/>
    <col min="14090" max="14090" width="7.25" style="115" customWidth="1"/>
    <col min="14091" max="14091" width="5" style="115" customWidth="1"/>
    <col min="14092" max="14092" width="3.25" style="115" customWidth="1"/>
    <col min="14093" max="14336" width="9" style="115"/>
    <col min="14337" max="14337" width="2.87962962962963" style="115" customWidth="1"/>
    <col min="14338" max="14338" width="7.25" style="115" customWidth="1"/>
    <col min="14339" max="14339" width="7.12962962962963" style="115" customWidth="1"/>
    <col min="14340" max="14340" width="1.37962962962963" style="115" customWidth="1"/>
    <col min="14341" max="14341" width="34.3796296296296" style="115" customWidth="1"/>
    <col min="14342" max="14342" width="3.62962962962963" style="115" customWidth="1"/>
    <col min="14343" max="14343" width="7.37962962962963" style="115" customWidth="1"/>
    <col min="14344" max="14344" width="7.25" style="115" customWidth="1"/>
    <col min="14345" max="14345" width="5" style="115" customWidth="1"/>
    <col min="14346" max="14346" width="7.25" style="115" customWidth="1"/>
    <col min="14347" max="14347" width="5" style="115" customWidth="1"/>
    <col min="14348" max="14348" width="3.25" style="115" customWidth="1"/>
    <col min="14349" max="14592" width="9" style="115"/>
    <col min="14593" max="14593" width="2.87962962962963" style="115" customWidth="1"/>
    <col min="14594" max="14594" width="7.25" style="115" customWidth="1"/>
    <col min="14595" max="14595" width="7.12962962962963" style="115" customWidth="1"/>
    <col min="14596" max="14596" width="1.37962962962963" style="115" customWidth="1"/>
    <col min="14597" max="14597" width="34.3796296296296" style="115" customWidth="1"/>
    <col min="14598" max="14598" width="3.62962962962963" style="115" customWidth="1"/>
    <col min="14599" max="14599" width="7.37962962962963" style="115" customWidth="1"/>
    <col min="14600" max="14600" width="7.25" style="115" customWidth="1"/>
    <col min="14601" max="14601" width="5" style="115" customWidth="1"/>
    <col min="14602" max="14602" width="7.25" style="115" customWidth="1"/>
    <col min="14603" max="14603" width="5" style="115" customWidth="1"/>
    <col min="14604" max="14604" width="3.25" style="115" customWidth="1"/>
    <col min="14605" max="14848" width="9" style="115"/>
    <col min="14849" max="14849" width="2.87962962962963" style="115" customWidth="1"/>
    <col min="14850" max="14850" width="7.25" style="115" customWidth="1"/>
    <col min="14851" max="14851" width="7.12962962962963" style="115" customWidth="1"/>
    <col min="14852" max="14852" width="1.37962962962963" style="115" customWidth="1"/>
    <col min="14853" max="14853" width="34.3796296296296" style="115" customWidth="1"/>
    <col min="14854" max="14854" width="3.62962962962963" style="115" customWidth="1"/>
    <col min="14855" max="14855" width="7.37962962962963" style="115" customWidth="1"/>
    <col min="14856" max="14856" width="7.25" style="115" customWidth="1"/>
    <col min="14857" max="14857" width="5" style="115" customWidth="1"/>
    <col min="14858" max="14858" width="7.25" style="115" customWidth="1"/>
    <col min="14859" max="14859" width="5" style="115" customWidth="1"/>
    <col min="14860" max="14860" width="3.25" style="115" customWidth="1"/>
    <col min="14861" max="15104" width="9" style="115"/>
    <col min="15105" max="15105" width="2.87962962962963" style="115" customWidth="1"/>
    <col min="15106" max="15106" width="7.25" style="115" customWidth="1"/>
    <col min="15107" max="15107" width="7.12962962962963" style="115" customWidth="1"/>
    <col min="15108" max="15108" width="1.37962962962963" style="115" customWidth="1"/>
    <col min="15109" max="15109" width="34.3796296296296" style="115" customWidth="1"/>
    <col min="15110" max="15110" width="3.62962962962963" style="115" customWidth="1"/>
    <col min="15111" max="15111" width="7.37962962962963" style="115" customWidth="1"/>
    <col min="15112" max="15112" width="7.25" style="115" customWidth="1"/>
    <col min="15113" max="15113" width="5" style="115" customWidth="1"/>
    <col min="15114" max="15114" width="7.25" style="115" customWidth="1"/>
    <col min="15115" max="15115" width="5" style="115" customWidth="1"/>
    <col min="15116" max="15116" width="3.25" style="115" customWidth="1"/>
    <col min="15117" max="15360" width="9" style="115"/>
    <col min="15361" max="15361" width="2.87962962962963" style="115" customWidth="1"/>
    <col min="15362" max="15362" width="7.25" style="115" customWidth="1"/>
    <col min="15363" max="15363" width="7.12962962962963" style="115" customWidth="1"/>
    <col min="15364" max="15364" width="1.37962962962963" style="115" customWidth="1"/>
    <col min="15365" max="15365" width="34.3796296296296" style="115" customWidth="1"/>
    <col min="15366" max="15366" width="3.62962962962963" style="115" customWidth="1"/>
    <col min="15367" max="15367" width="7.37962962962963" style="115" customWidth="1"/>
    <col min="15368" max="15368" width="7.25" style="115" customWidth="1"/>
    <col min="15369" max="15369" width="5" style="115" customWidth="1"/>
    <col min="15370" max="15370" width="7.25" style="115" customWidth="1"/>
    <col min="15371" max="15371" width="5" style="115" customWidth="1"/>
    <col min="15372" max="15372" width="3.25" style="115" customWidth="1"/>
    <col min="15373" max="15616" width="9" style="115"/>
    <col min="15617" max="15617" width="2.87962962962963" style="115" customWidth="1"/>
    <col min="15618" max="15618" width="7.25" style="115" customWidth="1"/>
    <col min="15619" max="15619" width="7.12962962962963" style="115" customWidth="1"/>
    <col min="15620" max="15620" width="1.37962962962963" style="115" customWidth="1"/>
    <col min="15621" max="15621" width="34.3796296296296" style="115" customWidth="1"/>
    <col min="15622" max="15622" width="3.62962962962963" style="115" customWidth="1"/>
    <col min="15623" max="15623" width="7.37962962962963" style="115" customWidth="1"/>
    <col min="15624" max="15624" width="7.25" style="115" customWidth="1"/>
    <col min="15625" max="15625" width="5" style="115" customWidth="1"/>
    <col min="15626" max="15626" width="7.25" style="115" customWidth="1"/>
    <col min="15627" max="15627" width="5" style="115" customWidth="1"/>
    <col min="15628" max="15628" width="3.25" style="115" customWidth="1"/>
    <col min="15629" max="15872" width="9" style="115"/>
    <col min="15873" max="15873" width="2.87962962962963" style="115" customWidth="1"/>
    <col min="15874" max="15874" width="7.25" style="115" customWidth="1"/>
    <col min="15875" max="15875" width="7.12962962962963" style="115" customWidth="1"/>
    <col min="15876" max="15876" width="1.37962962962963" style="115" customWidth="1"/>
    <col min="15877" max="15877" width="34.3796296296296" style="115" customWidth="1"/>
    <col min="15878" max="15878" width="3.62962962962963" style="115" customWidth="1"/>
    <col min="15879" max="15879" width="7.37962962962963" style="115" customWidth="1"/>
    <col min="15880" max="15880" width="7.25" style="115" customWidth="1"/>
    <col min="15881" max="15881" width="5" style="115" customWidth="1"/>
    <col min="15882" max="15882" width="7.25" style="115" customWidth="1"/>
    <col min="15883" max="15883" width="5" style="115" customWidth="1"/>
    <col min="15884" max="15884" width="3.25" style="115" customWidth="1"/>
    <col min="15885" max="16128" width="9" style="115"/>
    <col min="16129" max="16129" width="2.87962962962963" style="115" customWidth="1"/>
    <col min="16130" max="16130" width="7.25" style="115" customWidth="1"/>
    <col min="16131" max="16131" width="7.12962962962963" style="115" customWidth="1"/>
    <col min="16132" max="16132" width="1.37962962962963" style="115" customWidth="1"/>
    <col min="16133" max="16133" width="34.3796296296296" style="115" customWidth="1"/>
    <col min="16134" max="16134" width="3.62962962962963" style="115" customWidth="1"/>
    <col min="16135" max="16135" width="7.37962962962963" style="115" customWidth="1"/>
    <col min="16136" max="16136" width="7.25" style="115" customWidth="1"/>
    <col min="16137" max="16137" width="5" style="115" customWidth="1"/>
    <col min="16138" max="16138" width="7.25" style="115" customWidth="1"/>
    <col min="16139" max="16139" width="5" style="115" customWidth="1"/>
    <col min="16140" max="16140" width="3.25" style="115" customWidth="1"/>
    <col min="16141" max="16383" width="9" style="115"/>
    <col min="16384" max="16384" width="9" style="115" customWidth="1"/>
  </cols>
  <sheetData>
    <row r="1" customHeight="1" spans="1:12">
      <c r="A1" s="117" t="s">
        <v>815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customHeight="1" spans="1:12">
      <c r="A2" s="118" t="s">
        <v>816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customHeight="1" spans="1:13">
      <c r="A3" s="119" t="s">
        <v>817</v>
      </c>
      <c r="B3" s="120" t="s">
        <v>2</v>
      </c>
      <c r="C3" s="120" t="s">
        <v>3</v>
      </c>
      <c r="D3" s="120" t="s">
        <v>818</v>
      </c>
      <c r="E3" s="120" t="s">
        <v>819</v>
      </c>
      <c r="F3" s="120" t="s">
        <v>820</v>
      </c>
      <c r="G3" s="120" t="s">
        <v>821</v>
      </c>
      <c r="H3" s="120" t="s">
        <v>822</v>
      </c>
      <c r="I3" s="120" t="s">
        <v>823</v>
      </c>
      <c r="J3" s="120" t="s">
        <v>824</v>
      </c>
      <c r="K3" s="120" t="s">
        <v>825</v>
      </c>
      <c r="L3" s="120" t="s">
        <v>826</v>
      </c>
      <c r="M3" s="119" t="s">
        <v>817</v>
      </c>
    </row>
    <row r="4" customHeight="1" spans="1:13">
      <c r="A4" s="121">
        <v>1</v>
      </c>
      <c r="B4" s="122">
        <v>45535</v>
      </c>
      <c r="C4" s="123" t="s">
        <v>11</v>
      </c>
      <c r="D4" s="123">
        <v>2</v>
      </c>
      <c r="E4" s="124" t="s">
        <v>699</v>
      </c>
      <c r="F4" s="125" t="s">
        <v>827</v>
      </c>
      <c r="G4" s="123">
        <v>28</v>
      </c>
      <c r="H4" s="126"/>
      <c r="I4" s="126"/>
      <c r="J4" s="126"/>
      <c r="K4" s="126"/>
      <c r="L4" s="126"/>
      <c r="M4" s="121">
        <v>1</v>
      </c>
    </row>
    <row r="5" customHeight="1" spans="1:13">
      <c r="A5" s="121">
        <v>2</v>
      </c>
      <c r="B5" s="122">
        <v>45535</v>
      </c>
      <c r="C5" s="123" t="s">
        <v>11</v>
      </c>
      <c r="D5" s="123">
        <v>2</v>
      </c>
      <c r="E5" s="124" t="s">
        <v>20</v>
      </c>
      <c r="F5" s="127" t="s">
        <v>828</v>
      </c>
      <c r="G5" s="123">
        <v>44</v>
      </c>
      <c r="H5" s="126"/>
      <c r="I5" s="126"/>
      <c r="J5" s="126"/>
      <c r="K5" s="126"/>
      <c r="L5" s="126"/>
      <c r="M5" s="121">
        <v>2</v>
      </c>
    </row>
    <row r="6" customHeight="1" spans="1:13">
      <c r="A6" s="121">
        <v>3</v>
      </c>
      <c r="B6" s="122">
        <v>45535</v>
      </c>
      <c r="C6" s="123" t="s">
        <v>11</v>
      </c>
      <c r="D6" s="123">
        <v>2</v>
      </c>
      <c r="E6" s="124" t="s">
        <v>702</v>
      </c>
      <c r="F6" s="125" t="s">
        <v>829</v>
      </c>
      <c r="G6" s="123">
        <v>134</v>
      </c>
      <c r="H6" s="126"/>
      <c r="I6" s="126"/>
      <c r="J6" s="126"/>
      <c r="K6" s="126"/>
      <c r="L6" s="126"/>
      <c r="M6" s="121">
        <v>3</v>
      </c>
    </row>
    <row r="7" customHeight="1" spans="1:13">
      <c r="A7" s="121">
        <v>4</v>
      </c>
      <c r="B7" s="122">
        <v>45535</v>
      </c>
      <c r="C7" s="123" t="s">
        <v>31</v>
      </c>
      <c r="D7" s="123">
        <v>3</v>
      </c>
      <c r="E7" s="124" t="s">
        <v>32</v>
      </c>
      <c r="F7" s="125" t="s">
        <v>830</v>
      </c>
      <c r="G7" s="123">
        <v>126</v>
      </c>
      <c r="H7" s="126"/>
      <c r="I7" s="126"/>
      <c r="J7" s="126"/>
      <c r="K7" s="126"/>
      <c r="L7" s="126"/>
      <c r="M7" s="121">
        <v>4</v>
      </c>
    </row>
    <row r="8" customHeight="1" spans="1:13">
      <c r="A8" s="121">
        <v>5</v>
      </c>
      <c r="B8" s="122">
        <v>45535</v>
      </c>
      <c r="C8" s="123" t="s">
        <v>31</v>
      </c>
      <c r="D8" s="123">
        <v>3</v>
      </c>
      <c r="E8" s="124" t="s">
        <v>38</v>
      </c>
      <c r="F8" s="125" t="s">
        <v>831</v>
      </c>
      <c r="G8" s="123">
        <v>239</v>
      </c>
      <c r="H8" s="126"/>
      <c r="I8" s="126"/>
      <c r="J8" s="126"/>
      <c r="K8" s="126"/>
      <c r="L8" s="126"/>
      <c r="M8" s="121">
        <v>5</v>
      </c>
    </row>
    <row r="9" customHeight="1" spans="1:13">
      <c r="A9" s="121">
        <v>6</v>
      </c>
      <c r="B9" s="122">
        <v>45535</v>
      </c>
      <c r="C9" s="123" t="s">
        <v>31</v>
      </c>
      <c r="D9" s="123">
        <v>3</v>
      </c>
      <c r="E9" s="124" t="s">
        <v>43</v>
      </c>
      <c r="F9" s="125" t="s">
        <v>832</v>
      </c>
      <c r="G9" s="123">
        <v>400</v>
      </c>
      <c r="H9" s="126"/>
      <c r="I9" s="126"/>
      <c r="J9" s="126"/>
      <c r="K9" s="126"/>
      <c r="L9" s="126"/>
      <c r="M9" s="121">
        <v>6</v>
      </c>
    </row>
    <row r="10" customHeight="1" spans="1:13">
      <c r="A10" s="121">
        <v>7</v>
      </c>
      <c r="B10" s="122">
        <v>45535</v>
      </c>
      <c r="C10" s="123" t="s">
        <v>31</v>
      </c>
      <c r="D10" s="123">
        <v>3</v>
      </c>
      <c r="E10" s="124" t="s">
        <v>48</v>
      </c>
      <c r="F10" s="127" t="s">
        <v>831</v>
      </c>
      <c r="G10" s="123">
        <v>58</v>
      </c>
      <c r="H10" s="126"/>
      <c r="I10" s="126"/>
      <c r="J10" s="126"/>
      <c r="K10" s="126"/>
      <c r="L10" s="126"/>
      <c r="M10" s="121">
        <v>7</v>
      </c>
    </row>
    <row r="11" customHeight="1" spans="1:13">
      <c r="A11" s="121">
        <v>8</v>
      </c>
      <c r="B11" s="122">
        <v>45535</v>
      </c>
      <c r="C11" s="123" t="s">
        <v>31</v>
      </c>
      <c r="D11" s="123">
        <v>3</v>
      </c>
      <c r="E11" s="124" t="s">
        <v>52</v>
      </c>
      <c r="F11" s="127" t="s">
        <v>833</v>
      </c>
      <c r="G11" s="123">
        <v>24</v>
      </c>
      <c r="H11" s="126"/>
      <c r="I11" s="126"/>
      <c r="J11" s="126"/>
      <c r="K11" s="126"/>
      <c r="L11" s="126"/>
      <c r="M11" s="121">
        <v>8</v>
      </c>
    </row>
    <row r="12" customHeight="1" spans="1:13">
      <c r="A12" s="121">
        <v>9</v>
      </c>
      <c r="B12" s="122">
        <v>45535</v>
      </c>
      <c r="C12" s="123" t="s">
        <v>31</v>
      </c>
      <c r="D12" s="123">
        <v>3</v>
      </c>
      <c r="E12" s="124" t="s">
        <v>57</v>
      </c>
      <c r="F12" s="127" t="s">
        <v>834</v>
      </c>
      <c r="G12" s="123">
        <v>136</v>
      </c>
      <c r="H12" s="126"/>
      <c r="I12" s="126"/>
      <c r="J12" s="126"/>
      <c r="K12" s="126"/>
      <c r="L12" s="126"/>
      <c r="M12" s="121">
        <v>9</v>
      </c>
    </row>
    <row r="13" customHeight="1" spans="1:13">
      <c r="A13" s="121">
        <v>10</v>
      </c>
      <c r="B13" s="122">
        <v>45535</v>
      </c>
      <c r="C13" s="123" t="s">
        <v>31</v>
      </c>
      <c r="D13" s="123">
        <v>3</v>
      </c>
      <c r="E13" s="124" t="s">
        <v>62</v>
      </c>
      <c r="F13" s="127" t="s">
        <v>835</v>
      </c>
      <c r="G13" s="123">
        <v>63</v>
      </c>
      <c r="H13" s="126"/>
      <c r="I13" s="126"/>
      <c r="J13" s="126"/>
      <c r="K13" s="126"/>
      <c r="L13" s="126"/>
      <c r="M13" s="121">
        <v>10</v>
      </c>
    </row>
    <row r="14" customHeight="1" spans="1:13">
      <c r="A14" s="121">
        <v>11</v>
      </c>
      <c r="B14" s="122">
        <v>45535</v>
      </c>
      <c r="C14" s="123" t="s">
        <v>31</v>
      </c>
      <c r="D14" s="123">
        <v>3</v>
      </c>
      <c r="E14" s="124" t="s">
        <v>703</v>
      </c>
      <c r="F14" s="127" t="s">
        <v>836</v>
      </c>
      <c r="G14" s="123">
        <v>42</v>
      </c>
      <c r="H14" s="126"/>
      <c r="I14" s="126"/>
      <c r="J14" s="126"/>
      <c r="K14" s="126"/>
      <c r="L14" s="126"/>
      <c r="M14" s="121">
        <v>11</v>
      </c>
    </row>
    <row r="15" customHeight="1" spans="1:13">
      <c r="A15" s="121">
        <v>12</v>
      </c>
      <c r="B15" s="122">
        <v>45535</v>
      </c>
      <c r="C15" s="123" t="s">
        <v>31</v>
      </c>
      <c r="D15" s="123">
        <v>3</v>
      </c>
      <c r="E15" s="124" t="s">
        <v>72</v>
      </c>
      <c r="F15" s="127" t="s">
        <v>837</v>
      </c>
      <c r="G15" s="123">
        <v>134</v>
      </c>
      <c r="H15" s="126"/>
      <c r="I15" s="126"/>
      <c r="J15" s="126"/>
      <c r="K15" s="126"/>
      <c r="L15" s="126"/>
      <c r="M15" s="121">
        <v>12</v>
      </c>
    </row>
    <row r="16" customHeight="1" spans="1:13">
      <c r="A16" s="121">
        <v>13</v>
      </c>
      <c r="B16" s="122">
        <v>45535</v>
      </c>
      <c r="C16" s="123" t="s">
        <v>31</v>
      </c>
      <c r="D16" s="123">
        <v>3</v>
      </c>
      <c r="E16" s="124" t="s">
        <v>76</v>
      </c>
      <c r="F16" s="127" t="s">
        <v>838</v>
      </c>
      <c r="G16" s="123">
        <v>97</v>
      </c>
      <c r="H16" s="126"/>
      <c r="I16" s="126"/>
      <c r="J16" s="126"/>
      <c r="K16" s="126"/>
      <c r="L16" s="126"/>
      <c r="M16" s="121">
        <v>13</v>
      </c>
    </row>
    <row r="17" customHeight="1" spans="1:13">
      <c r="A17" s="121">
        <v>14</v>
      </c>
      <c r="B17" s="122">
        <v>45535</v>
      </c>
      <c r="C17" s="123" t="s">
        <v>80</v>
      </c>
      <c r="D17" s="123">
        <v>2</v>
      </c>
      <c r="E17" s="124" t="s">
        <v>81</v>
      </c>
      <c r="F17" s="125" t="s">
        <v>839</v>
      </c>
      <c r="G17" s="123">
        <v>423</v>
      </c>
      <c r="H17" s="126"/>
      <c r="I17" s="126"/>
      <c r="J17" s="126"/>
      <c r="K17" s="126"/>
      <c r="L17" s="126"/>
      <c r="M17" s="121">
        <v>14</v>
      </c>
    </row>
    <row r="18" customHeight="1" spans="1:13">
      <c r="A18" s="121">
        <v>15</v>
      </c>
      <c r="B18" s="122">
        <v>45535</v>
      </c>
      <c r="C18" s="123" t="s">
        <v>87</v>
      </c>
      <c r="D18" s="123">
        <v>3</v>
      </c>
      <c r="E18" s="124" t="s">
        <v>88</v>
      </c>
      <c r="F18" s="125" t="s">
        <v>832</v>
      </c>
      <c r="G18" s="128">
        <v>200</v>
      </c>
      <c r="H18" s="126"/>
      <c r="I18" s="126"/>
      <c r="J18" s="126"/>
      <c r="K18" s="126"/>
      <c r="L18" s="126"/>
      <c r="M18" s="121">
        <v>15</v>
      </c>
    </row>
    <row r="19" customHeight="1" spans="1:13">
      <c r="A19" s="121">
        <v>16</v>
      </c>
      <c r="B19" s="122">
        <v>45535</v>
      </c>
      <c r="C19" s="123" t="s">
        <v>87</v>
      </c>
      <c r="D19" s="123">
        <v>3</v>
      </c>
      <c r="E19" s="124" t="s">
        <v>92</v>
      </c>
      <c r="F19" s="125" t="s">
        <v>840</v>
      </c>
      <c r="G19" s="123">
        <v>255</v>
      </c>
      <c r="H19" s="126"/>
      <c r="I19" s="126"/>
      <c r="J19" s="126"/>
      <c r="K19" s="126"/>
      <c r="L19" s="126"/>
      <c r="M19" s="121">
        <v>16</v>
      </c>
    </row>
    <row r="20" customHeight="1" spans="1:13">
      <c r="A20" s="121">
        <v>17</v>
      </c>
      <c r="B20" s="122">
        <v>45535</v>
      </c>
      <c r="C20" s="123" t="s">
        <v>87</v>
      </c>
      <c r="D20" s="123">
        <v>3</v>
      </c>
      <c r="E20" s="124" t="s">
        <v>95</v>
      </c>
      <c r="F20" s="125" t="s">
        <v>840</v>
      </c>
      <c r="G20" s="123">
        <v>112</v>
      </c>
      <c r="H20" s="126"/>
      <c r="I20" s="126"/>
      <c r="J20" s="126"/>
      <c r="K20" s="126"/>
      <c r="L20" s="126"/>
      <c r="M20" s="121">
        <v>17</v>
      </c>
    </row>
    <row r="21" customHeight="1" spans="1:13">
      <c r="A21" s="121">
        <v>18</v>
      </c>
      <c r="B21" s="122">
        <v>45535</v>
      </c>
      <c r="C21" s="123" t="s">
        <v>87</v>
      </c>
      <c r="D21" s="123">
        <v>3</v>
      </c>
      <c r="E21" s="124" t="s">
        <v>705</v>
      </c>
      <c r="F21" s="127" t="s">
        <v>841</v>
      </c>
      <c r="G21" s="123">
        <v>46</v>
      </c>
      <c r="H21" s="126"/>
      <c r="I21" s="126"/>
      <c r="J21" s="126"/>
      <c r="K21" s="126"/>
      <c r="L21" s="126"/>
      <c r="M21" s="121">
        <v>18</v>
      </c>
    </row>
    <row r="22" customHeight="1" spans="1:13">
      <c r="A22" s="121">
        <v>19</v>
      </c>
      <c r="B22" s="122">
        <v>45535</v>
      </c>
      <c r="C22" s="123" t="s">
        <v>87</v>
      </c>
      <c r="D22" s="123">
        <v>3</v>
      </c>
      <c r="E22" s="124" t="s">
        <v>103</v>
      </c>
      <c r="F22" s="127" t="s">
        <v>833</v>
      </c>
      <c r="G22" s="123">
        <v>24</v>
      </c>
      <c r="H22" s="126"/>
      <c r="I22" s="126"/>
      <c r="J22" s="126"/>
      <c r="K22" s="126"/>
      <c r="L22" s="126"/>
      <c r="M22" s="121">
        <v>19</v>
      </c>
    </row>
    <row r="23" customHeight="1" spans="1:13">
      <c r="A23" s="121">
        <v>20</v>
      </c>
      <c r="B23" s="122">
        <v>45535</v>
      </c>
      <c r="C23" s="123" t="s">
        <v>87</v>
      </c>
      <c r="D23" s="123">
        <v>3</v>
      </c>
      <c r="E23" s="124" t="s">
        <v>107</v>
      </c>
      <c r="F23" s="125" t="s">
        <v>842</v>
      </c>
      <c r="G23" s="123">
        <v>281</v>
      </c>
      <c r="H23" s="126"/>
      <c r="I23" s="126"/>
      <c r="J23" s="126"/>
      <c r="K23" s="126"/>
      <c r="L23" s="126"/>
      <c r="M23" s="121">
        <v>20</v>
      </c>
    </row>
    <row r="24" customHeight="1" spans="1:13">
      <c r="A24" s="121">
        <v>21</v>
      </c>
      <c r="B24" s="122">
        <v>45535</v>
      </c>
      <c r="C24" s="123" t="s">
        <v>87</v>
      </c>
      <c r="D24" s="123">
        <v>3</v>
      </c>
      <c r="E24" s="124" t="s">
        <v>111</v>
      </c>
      <c r="F24" s="125" t="s">
        <v>843</v>
      </c>
      <c r="G24" s="123">
        <v>96</v>
      </c>
      <c r="H24" s="126"/>
      <c r="I24" s="126"/>
      <c r="J24" s="126"/>
      <c r="K24" s="126"/>
      <c r="L24" s="126"/>
      <c r="M24" s="121">
        <v>21</v>
      </c>
    </row>
    <row r="25" customHeight="1" spans="1:13">
      <c r="A25" s="121">
        <v>22</v>
      </c>
      <c r="B25" s="122">
        <v>45535</v>
      </c>
      <c r="C25" s="123" t="s">
        <v>87</v>
      </c>
      <c r="D25" s="123">
        <v>3</v>
      </c>
      <c r="E25" s="124" t="s">
        <v>706</v>
      </c>
      <c r="F25" s="125" t="s">
        <v>836</v>
      </c>
      <c r="G25" s="123">
        <v>42</v>
      </c>
      <c r="H25" s="126"/>
      <c r="I25" s="126"/>
      <c r="J25" s="126"/>
      <c r="K25" s="126"/>
      <c r="L25" s="126"/>
      <c r="M25" s="121">
        <v>22</v>
      </c>
    </row>
    <row r="26" customHeight="1" spans="1:13">
      <c r="A26" s="121">
        <v>23</v>
      </c>
      <c r="B26" s="122">
        <v>45535</v>
      </c>
      <c r="C26" s="123" t="s">
        <v>87</v>
      </c>
      <c r="D26" s="123">
        <v>3</v>
      </c>
      <c r="E26" s="124" t="s">
        <v>707</v>
      </c>
      <c r="F26" s="125" t="s">
        <v>844</v>
      </c>
      <c r="G26" s="123">
        <v>105</v>
      </c>
      <c r="H26" s="126"/>
      <c r="I26" s="126"/>
      <c r="J26" s="126"/>
      <c r="K26" s="126"/>
      <c r="L26" s="126"/>
      <c r="M26" s="121">
        <v>23</v>
      </c>
    </row>
    <row r="27" customHeight="1" spans="1:13">
      <c r="A27" s="121">
        <v>24</v>
      </c>
      <c r="B27" s="122">
        <v>45535</v>
      </c>
      <c r="C27" s="123" t="s">
        <v>87</v>
      </c>
      <c r="D27" s="123">
        <v>3</v>
      </c>
      <c r="E27" s="124" t="s">
        <v>708</v>
      </c>
      <c r="F27" s="125" t="s">
        <v>845</v>
      </c>
      <c r="G27" s="123">
        <v>57</v>
      </c>
      <c r="H27" s="126"/>
      <c r="I27" s="126"/>
      <c r="J27" s="126"/>
      <c r="K27" s="126"/>
      <c r="L27" s="126"/>
      <c r="M27" s="121">
        <v>24</v>
      </c>
    </row>
    <row r="28" customHeight="1" spans="1:13">
      <c r="A28" s="121">
        <v>25</v>
      </c>
      <c r="B28" s="122">
        <v>45536</v>
      </c>
      <c r="C28" s="123" t="s">
        <v>11</v>
      </c>
      <c r="D28" s="123">
        <v>2</v>
      </c>
      <c r="E28" s="124" t="s">
        <v>709</v>
      </c>
      <c r="F28" s="125" t="s">
        <v>846</v>
      </c>
      <c r="G28" s="123">
        <v>5</v>
      </c>
      <c r="H28" s="126"/>
      <c r="I28" s="126"/>
      <c r="J28" s="126"/>
      <c r="K28" s="126"/>
      <c r="L28" s="126"/>
      <c r="M28" s="121">
        <v>25</v>
      </c>
    </row>
    <row r="29" customHeight="1" spans="1:13">
      <c r="A29" s="121">
        <v>26</v>
      </c>
      <c r="B29" s="122">
        <v>45536</v>
      </c>
      <c r="C29" s="123" t="s">
        <v>11</v>
      </c>
      <c r="D29" s="123">
        <v>2</v>
      </c>
      <c r="E29" s="124" t="s">
        <v>131</v>
      </c>
      <c r="F29" s="125" t="s">
        <v>847</v>
      </c>
      <c r="G29" s="123">
        <v>95</v>
      </c>
      <c r="H29" s="126"/>
      <c r="I29" s="126"/>
      <c r="J29" s="126"/>
      <c r="K29" s="126"/>
      <c r="L29" s="126"/>
      <c r="M29" s="121">
        <v>26</v>
      </c>
    </row>
    <row r="30" customHeight="1" spans="1:13">
      <c r="A30" s="121">
        <v>27</v>
      </c>
      <c r="B30" s="122">
        <v>45536</v>
      </c>
      <c r="C30" s="123" t="s">
        <v>11</v>
      </c>
      <c r="D30" s="123">
        <v>2</v>
      </c>
      <c r="E30" s="124" t="s">
        <v>710</v>
      </c>
      <c r="F30" s="127" t="s">
        <v>848</v>
      </c>
      <c r="G30" s="123">
        <v>20</v>
      </c>
      <c r="H30" s="126"/>
      <c r="I30" s="126"/>
      <c r="J30" s="126"/>
      <c r="K30" s="126"/>
      <c r="L30" s="126"/>
      <c r="M30" s="121">
        <v>27</v>
      </c>
    </row>
    <row r="31" customHeight="1" spans="1:13">
      <c r="A31" s="121">
        <v>28</v>
      </c>
      <c r="B31" s="122">
        <v>45536</v>
      </c>
      <c r="C31" s="123" t="s">
        <v>11</v>
      </c>
      <c r="D31" s="123">
        <v>2</v>
      </c>
      <c r="E31" s="124" t="s">
        <v>712</v>
      </c>
      <c r="F31" s="127" t="s">
        <v>849</v>
      </c>
      <c r="G31" s="123">
        <v>107</v>
      </c>
      <c r="H31" s="126"/>
      <c r="I31" s="126"/>
      <c r="J31" s="126"/>
      <c r="K31" s="126"/>
      <c r="L31" s="126"/>
      <c r="M31" s="121">
        <v>28</v>
      </c>
    </row>
    <row r="32" customHeight="1" spans="1:13">
      <c r="A32" s="121">
        <v>29</v>
      </c>
      <c r="B32" s="122">
        <v>45536</v>
      </c>
      <c r="C32" s="123" t="s">
        <v>31</v>
      </c>
      <c r="D32" s="123">
        <v>3</v>
      </c>
      <c r="E32" s="124" t="s">
        <v>713</v>
      </c>
      <c r="F32" s="127" t="s">
        <v>850</v>
      </c>
      <c r="G32" s="123">
        <v>382</v>
      </c>
      <c r="H32" s="126"/>
      <c r="I32" s="126"/>
      <c r="J32" s="126"/>
      <c r="K32" s="126"/>
      <c r="L32" s="126"/>
      <c r="M32" s="121">
        <v>29</v>
      </c>
    </row>
    <row r="33" customHeight="1" spans="1:13">
      <c r="A33" s="121">
        <v>30</v>
      </c>
      <c r="B33" s="122">
        <v>45536</v>
      </c>
      <c r="C33" s="123" t="s">
        <v>31</v>
      </c>
      <c r="D33" s="123">
        <v>3</v>
      </c>
      <c r="E33" s="124" t="s">
        <v>149</v>
      </c>
      <c r="F33" s="125" t="s">
        <v>830</v>
      </c>
      <c r="G33" s="123">
        <v>44</v>
      </c>
      <c r="H33" s="126"/>
      <c r="I33" s="126"/>
      <c r="J33" s="126"/>
      <c r="K33" s="126"/>
      <c r="L33" s="126"/>
      <c r="M33" s="121">
        <v>30</v>
      </c>
    </row>
    <row r="34" customHeight="1" spans="1:13">
      <c r="A34" s="121">
        <v>31</v>
      </c>
      <c r="B34" s="122">
        <v>45536</v>
      </c>
      <c r="C34" s="123" t="s">
        <v>31</v>
      </c>
      <c r="D34" s="123">
        <v>3</v>
      </c>
      <c r="E34" s="124" t="s">
        <v>714</v>
      </c>
      <c r="F34" s="125" t="s">
        <v>851</v>
      </c>
      <c r="G34" s="123">
        <v>19</v>
      </c>
      <c r="H34" s="126"/>
      <c r="I34" s="126"/>
      <c r="J34" s="126"/>
      <c r="K34" s="126"/>
      <c r="L34" s="126"/>
      <c r="M34" s="121">
        <v>31</v>
      </c>
    </row>
    <row r="35" customHeight="1" spans="1:13">
      <c r="A35" s="121">
        <v>32</v>
      </c>
      <c r="B35" s="122">
        <v>45536</v>
      </c>
      <c r="C35" s="123" t="s">
        <v>31</v>
      </c>
      <c r="D35" s="123">
        <v>3</v>
      </c>
      <c r="E35" s="124" t="s">
        <v>156</v>
      </c>
      <c r="F35" s="125" t="s">
        <v>852</v>
      </c>
      <c r="G35" s="123">
        <v>83</v>
      </c>
      <c r="H35" s="126"/>
      <c r="I35" s="126"/>
      <c r="J35" s="126"/>
      <c r="K35" s="126"/>
      <c r="L35" s="126"/>
      <c r="M35" s="121">
        <v>32</v>
      </c>
    </row>
    <row r="36" customHeight="1" spans="1:13">
      <c r="A36" s="121">
        <v>33</v>
      </c>
      <c r="B36" s="122">
        <v>45536</v>
      </c>
      <c r="C36" s="123" t="s">
        <v>31</v>
      </c>
      <c r="D36" s="123">
        <v>3</v>
      </c>
      <c r="E36" s="124" t="s">
        <v>715</v>
      </c>
      <c r="F36" s="125" t="s">
        <v>853</v>
      </c>
      <c r="G36" s="123">
        <v>75</v>
      </c>
      <c r="H36" s="126"/>
      <c r="I36" s="126"/>
      <c r="J36" s="126"/>
      <c r="K36" s="126"/>
      <c r="L36" s="126"/>
      <c r="M36" s="121">
        <v>33</v>
      </c>
    </row>
    <row r="37" customHeight="1" spans="1:13">
      <c r="A37" s="121">
        <v>34</v>
      </c>
      <c r="B37" s="122">
        <v>45536</v>
      </c>
      <c r="C37" s="123" t="s">
        <v>31</v>
      </c>
      <c r="D37" s="123">
        <v>3</v>
      </c>
      <c r="E37" s="124" t="s">
        <v>716</v>
      </c>
      <c r="F37" s="127" t="s">
        <v>854</v>
      </c>
      <c r="G37" s="123">
        <v>8</v>
      </c>
      <c r="H37" s="126"/>
      <c r="I37" s="126"/>
      <c r="J37" s="126"/>
      <c r="K37" s="126"/>
      <c r="L37" s="126"/>
      <c r="M37" s="121">
        <v>34</v>
      </c>
    </row>
    <row r="38" customHeight="1" spans="1:13">
      <c r="A38" s="121">
        <v>35</v>
      </c>
      <c r="B38" s="122">
        <v>45536</v>
      </c>
      <c r="C38" s="123" t="s">
        <v>31</v>
      </c>
      <c r="D38" s="123">
        <v>3</v>
      </c>
      <c r="E38" s="124" t="s">
        <v>717</v>
      </c>
      <c r="F38" s="125" t="s">
        <v>855</v>
      </c>
      <c r="G38" s="123">
        <v>47</v>
      </c>
      <c r="H38" s="126"/>
      <c r="I38" s="126"/>
      <c r="J38" s="126"/>
      <c r="K38" s="126"/>
      <c r="L38" s="126"/>
      <c r="M38" s="121">
        <v>35</v>
      </c>
    </row>
    <row r="39" customHeight="1" spans="1:13">
      <c r="A39" s="121">
        <v>36</v>
      </c>
      <c r="B39" s="122">
        <v>45536</v>
      </c>
      <c r="C39" s="123" t="s">
        <v>31</v>
      </c>
      <c r="D39" s="123">
        <v>3</v>
      </c>
      <c r="E39" s="124" t="s">
        <v>171</v>
      </c>
      <c r="F39" s="127" t="s">
        <v>856</v>
      </c>
      <c r="G39" s="123">
        <v>107</v>
      </c>
      <c r="H39" s="126"/>
      <c r="I39" s="126"/>
      <c r="J39" s="126"/>
      <c r="K39" s="126"/>
      <c r="L39" s="126"/>
      <c r="M39" s="121">
        <v>36</v>
      </c>
    </row>
    <row r="40" customHeight="1" spans="1:13">
      <c r="A40" s="121">
        <v>37</v>
      </c>
      <c r="B40" s="122">
        <v>45536</v>
      </c>
      <c r="C40" s="123" t="s">
        <v>31</v>
      </c>
      <c r="D40" s="123">
        <v>3</v>
      </c>
      <c r="E40" s="124" t="s">
        <v>857</v>
      </c>
      <c r="F40" s="127" t="s">
        <v>858</v>
      </c>
      <c r="G40" s="123">
        <v>4</v>
      </c>
      <c r="H40" s="126"/>
      <c r="I40" s="126"/>
      <c r="J40" s="126"/>
      <c r="K40" s="126"/>
      <c r="L40" s="126"/>
      <c r="M40" s="121">
        <v>37</v>
      </c>
    </row>
    <row r="41" customHeight="1" spans="1:13">
      <c r="A41" s="121">
        <v>38</v>
      </c>
      <c r="B41" s="122">
        <v>45536</v>
      </c>
      <c r="C41" s="123" t="s">
        <v>80</v>
      </c>
      <c r="D41" s="123">
        <v>2</v>
      </c>
      <c r="E41" s="124" t="s">
        <v>180</v>
      </c>
      <c r="F41" s="125" t="s">
        <v>848</v>
      </c>
      <c r="G41" s="123">
        <v>414</v>
      </c>
      <c r="H41" s="126"/>
      <c r="I41" s="126"/>
      <c r="J41" s="126"/>
      <c r="K41" s="126"/>
      <c r="L41" s="126"/>
      <c r="M41" s="121">
        <v>38</v>
      </c>
    </row>
    <row r="42" customHeight="1" spans="1:13">
      <c r="A42" s="121">
        <v>39</v>
      </c>
      <c r="B42" s="122">
        <v>45536</v>
      </c>
      <c r="C42" s="123" t="s">
        <v>80</v>
      </c>
      <c r="D42" s="123">
        <v>2</v>
      </c>
      <c r="E42" s="124" t="s">
        <v>183</v>
      </c>
      <c r="F42" s="125" t="s">
        <v>859</v>
      </c>
      <c r="G42" s="123">
        <v>21</v>
      </c>
      <c r="H42" s="126"/>
      <c r="I42" s="126"/>
      <c r="J42" s="126"/>
      <c r="K42" s="126"/>
      <c r="L42" s="126"/>
      <c r="M42" s="121">
        <v>39</v>
      </c>
    </row>
    <row r="43" customHeight="1" spans="1:13">
      <c r="A43" s="121">
        <v>40</v>
      </c>
      <c r="B43" s="122">
        <v>45536</v>
      </c>
      <c r="C43" s="123" t="s">
        <v>87</v>
      </c>
      <c r="D43" s="123">
        <v>3</v>
      </c>
      <c r="E43" s="124" t="s">
        <v>719</v>
      </c>
      <c r="F43" s="125" t="s">
        <v>846</v>
      </c>
      <c r="G43" s="123">
        <v>5</v>
      </c>
      <c r="H43" s="126"/>
      <c r="I43" s="126"/>
      <c r="J43" s="126"/>
      <c r="K43" s="126"/>
      <c r="L43" s="126"/>
      <c r="M43" s="121">
        <v>40</v>
      </c>
    </row>
    <row r="44" customHeight="1" spans="1:13">
      <c r="A44" s="121">
        <v>41</v>
      </c>
      <c r="B44" s="122">
        <v>45536</v>
      </c>
      <c r="C44" s="123" t="s">
        <v>87</v>
      </c>
      <c r="D44" s="123">
        <v>3</v>
      </c>
      <c r="E44" s="124" t="s">
        <v>188</v>
      </c>
      <c r="F44" s="125" t="s">
        <v>860</v>
      </c>
      <c r="G44" s="123">
        <v>57</v>
      </c>
      <c r="H44" s="126"/>
      <c r="I44" s="126"/>
      <c r="J44" s="126"/>
      <c r="K44" s="126"/>
      <c r="L44" s="126"/>
      <c r="M44" s="121">
        <v>41</v>
      </c>
    </row>
    <row r="45" customHeight="1" spans="1:13">
      <c r="A45" s="121">
        <v>42</v>
      </c>
      <c r="B45" s="122">
        <v>45536</v>
      </c>
      <c r="C45" s="123" t="s">
        <v>87</v>
      </c>
      <c r="D45" s="123">
        <v>3</v>
      </c>
      <c r="E45" s="124" t="s">
        <v>191</v>
      </c>
      <c r="F45" s="125" t="s">
        <v>861</v>
      </c>
      <c r="G45" s="123">
        <v>45</v>
      </c>
      <c r="H45" s="126"/>
      <c r="I45" s="126"/>
      <c r="J45" s="126"/>
      <c r="K45" s="126"/>
      <c r="L45" s="126"/>
      <c r="M45" s="121">
        <v>42</v>
      </c>
    </row>
    <row r="46" customHeight="1" spans="1:13">
      <c r="A46" s="121">
        <v>43</v>
      </c>
      <c r="B46" s="122">
        <v>45536</v>
      </c>
      <c r="C46" s="123" t="s">
        <v>87</v>
      </c>
      <c r="D46" s="123">
        <v>3</v>
      </c>
      <c r="E46" s="124" t="s">
        <v>720</v>
      </c>
      <c r="F46" s="125" t="s">
        <v>862</v>
      </c>
      <c r="G46" s="123">
        <v>75</v>
      </c>
      <c r="H46" s="126"/>
      <c r="I46" s="126"/>
      <c r="J46" s="126"/>
      <c r="K46" s="126"/>
      <c r="L46" s="126"/>
      <c r="M46" s="121">
        <v>43</v>
      </c>
    </row>
    <row r="47" customHeight="1" spans="1:13">
      <c r="A47" s="121">
        <v>44</v>
      </c>
      <c r="B47" s="122">
        <v>45536</v>
      </c>
      <c r="C47" s="123" t="s">
        <v>87</v>
      </c>
      <c r="D47" s="123">
        <v>3</v>
      </c>
      <c r="E47" s="124" t="s">
        <v>721</v>
      </c>
      <c r="F47" s="127" t="s">
        <v>829</v>
      </c>
      <c r="G47" s="123">
        <v>134</v>
      </c>
      <c r="H47" s="126"/>
      <c r="I47" s="126"/>
      <c r="J47" s="126"/>
      <c r="K47" s="126"/>
      <c r="L47" s="126"/>
      <c r="M47" s="121">
        <v>44</v>
      </c>
    </row>
    <row r="48" customHeight="1" spans="1:13">
      <c r="A48" s="121">
        <v>45</v>
      </c>
      <c r="B48" s="122">
        <v>45536</v>
      </c>
      <c r="C48" s="123" t="s">
        <v>87</v>
      </c>
      <c r="D48" s="123">
        <v>3</v>
      </c>
      <c r="E48" s="124" t="s">
        <v>722</v>
      </c>
      <c r="F48" s="125" t="s">
        <v>849</v>
      </c>
      <c r="G48" s="123">
        <v>107</v>
      </c>
      <c r="H48" s="126"/>
      <c r="I48" s="126"/>
      <c r="J48" s="126"/>
      <c r="K48" s="126"/>
      <c r="L48" s="126"/>
      <c r="M48" s="121">
        <v>45</v>
      </c>
    </row>
    <row r="49" customHeight="1" spans="1:13">
      <c r="A49" s="121">
        <v>46</v>
      </c>
      <c r="B49" s="122">
        <v>45536</v>
      </c>
      <c r="C49" s="123" t="s">
        <v>87</v>
      </c>
      <c r="D49" s="123">
        <v>3</v>
      </c>
      <c r="E49" s="124" t="s">
        <v>723</v>
      </c>
      <c r="F49" s="125" t="s">
        <v>863</v>
      </c>
      <c r="G49" s="123">
        <v>107</v>
      </c>
      <c r="H49" s="126"/>
      <c r="I49" s="126"/>
      <c r="J49" s="126"/>
      <c r="K49" s="126"/>
      <c r="L49" s="126"/>
      <c r="M49" s="121">
        <v>46</v>
      </c>
    </row>
    <row r="50" customHeight="1" spans="1:13">
      <c r="A50" s="121">
        <v>47</v>
      </c>
      <c r="B50" s="122">
        <v>45536</v>
      </c>
      <c r="C50" s="123" t="s">
        <v>87</v>
      </c>
      <c r="D50" s="123">
        <v>3</v>
      </c>
      <c r="E50" s="124" t="s">
        <v>864</v>
      </c>
      <c r="F50" s="127" t="s">
        <v>865</v>
      </c>
      <c r="G50" s="123">
        <v>4</v>
      </c>
      <c r="H50" s="126"/>
      <c r="I50" s="126"/>
      <c r="J50" s="126"/>
      <c r="K50" s="126"/>
      <c r="L50" s="126"/>
      <c r="M50" s="121">
        <v>47</v>
      </c>
    </row>
    <row r="51" customHeight="1" spans="1:13">
      <c r="A51" s="121">
        <v>48</v>
      </c>
      <c r="B51" s="122">
        <v>45537</v>
      </c>
      <c r="C51" s="123" t="s">
        <v>11</v>
      </c>
      <c r="D51" s="123">
        <v>2</v>
      </c>
      <c r="E51" s="124" t="s">
        <v>725</v>
      </c>
      <c r="F51" s="125" t="s">
        <v>866</v>
      </c>
      <c r="G51" s="123">
        <v>73</v>
      </c>
      <c r="H51" s="126"/>
      <c r="I51" s="126"/>
      <c r="J51" s="126"/>
      <c r="K51" s="126"/>
      <c r="L51" s="126"/>
      <c r="M51" s="121">
        <v>48</v>
      </c>
    </row>
    <row r="52" customHeight="1" spans="1:13">
      <c r="A52" s="121">
        <v>49</v>
      </c>
      <c r="B52" s="122">
        <v>45537</v>
      </c>
      <c r="C52" s="123" t="s">
        <v>11</v>
      </c>
      <c r="D52" s="123">
        <v>2</v>
      </c>
      <c r="E52" s="124" t="s">
        <v>215</v>
      </c>
      <c r="F52" s="127" t="s">
        <v>844</v>
      </c>
      <c r="G52" s="123">
        <v>89</v>
      </c>
      <c r="H52" s="126"/>
      <c r="I52" s="126"/>
      <c r="J52" s="126"/>
      <c r="K52" s="126"/>
      <c r="L52" s="126"/>
      <c r="M52" s="121">
        <v>49</v>
      </c>
    </row>
    <row r="53" customHeight="1" spans="1:13">
      <c r="A53" s="121">
        <v>50</v>
      </c>
      <c r="B53" s="122">
        <v>45537</v>
      </c>
      <c r="C53" s="123" t="s">
        <v>31</v>
      </c>
      <c r="D53" s="123">
        <v>3</v>
      </c>
      <c r="E53" s="124" t="s">
        <v>218</v>
      </c>
      <c r="F53" s="125" t="s">
        <v>867</v>
      </c>
      <c r="G53" s="123">
        <v>784</v>
      </c>
      <c r="H53" s="126"/>
      <c r="I53" s="126"/>
      <c r="J53" s="126"/>
      <c r="K53" s="126"/>
      <c r="L53" s="126"/>
      <c r="M53" s="121">
        <v>50</v>
      </c>
    </row>
    <row r="54" customHeight="1" spans="1:13">
      <c r="A54" s="121">
        <v>51</v>
      </c>
      <c r="B54" s="122">
        <v>45537</v>
      </c>
      <c r="C54" s="123" t="s">
        <v>31</v>
      </c>
      <c r="D54" s="123">
        <v>3</v>
      </c>
      <c r="E54" s="124" t="s">
        <v>224</v>
      </c>
      <c r="F54" s="127" t="s">
        <v>867</v>
      </c>
      <c r="G54" s="123">
        <v>115</v>
      </c>
      <c r="H54" s="126"/>
      <c r="I54" s="126"/>
      <c r="J54" s="126"/>
      <c r="K54" s="126"/>
      <c r="L54" s="126"/>
      <c r="M54" s="121">
        <v>51</v>
      </c>
    </row>
    <row r="55" customHeight="1" spans="1:13">
      <c r="A55" s="121">
        <v>52</v>
      </c>
      <c r="B55" s="122">
        <v>45537</v>
      </c>
      <c r="C55" s="123" t="s">
        <v>31</v>
      </c>
      <c r="D55" s="123">
        <v>3</v>
      </c>
      <c r="E55" s="124" t="s">
        <v>726</v>
      </c>
      <c r="F55" s="125" t="s">
        <v>227</v>
      </c>
      <c r="G55" s="123">
        <v>42</v>
      </c>
      <c r="H55" s="126"/>
      <c r="I55" s="126"/>
      <c r="J55" s="126"/>
      <c r="K55" s="126"/>
      <c r="L55" s="126"/>
      <c r="M55" s="121">
        <v>52</v>
      </c>
    </row>
    <row r="56" customHeight="1" spans="1:13">
      <c r="A56" s="121">
        <v>53</v>
      </c>
      <c r="B56" s="122">
        <v>45537</v>
      </c>
      <c r="C56" s="123" t="s">
        <v>31</v>
      </c>
      <c r="D56" s="123">
        <v>3</v>
      </c>
      <c r="E56" s="124" t="s">
        <v>211</v>
      </c>
      <c r="F56" s="125" t="s">
        <v>868</v>
      </c>
      <c r="G56" s="123">
        <v>113</v>
      </c>
      <c r="H56" s="126"/>
      <c r="I56" s="126"/>
      <c r="J56" s="126"/>
      <c r="K56" s="126"/>
      <c r="L56" s="126"/>
      <c r="M56" s="121">
        <v>53</v>
      </c>
    </row>
    <row r="57" customHeight="1" spans="1:13">
      <c r="A57" s="121">
        <v>54</v>
      </c>
      <c r="B57" s="122">
        <v>45537</v>
      </c>
      <c r="C57" s="123" t="s">
        <v>31</v>
      </c>
      <c r="D57" s="123">
        <v>3</v>
      </c>
      <c r="E57" s="124" t="s">
        <v>727</v>
      </c>
      <c r="F57" s="127" t="s">
        <v>869</v>
      </c>
      <c r="G57" s="123">
        <v>3</v>
      </c>
      <c r="H57" s="126"/>
      <c r="I57" s="126"/>
      <c r="J57" s="126"/>
      <c r="K57" s="126"/>
      <c r="L57" s="126"/>
      <c r="M57" s="121">
        <v>54</v>
      </c>
    </row>
    <row r="58" customHeight="1" spans="1:13">
      <c r="A58" s="121">
        <v>55</v>
      </c>
      <c r="B58" s="122">
        <v>45537</v>
      </c>
      <c r="C58" s="123" t="s">
        <v>31</v>
      </c>
      <c r="D58" s="123">
        <v>3</v>
      </c>
      <c r="E58" s="124" t="s">
        <v>728</v>
      </c>
      <c r="F58" s="125" t="s">
        <v>870</v>
      </c>
      <c r="G58" s="123">
        <v>37</v>
      </c>
      <c r="H58" s="126"/>
      <c r="I58" s="126"/>
      <c r="J58" s="126"/>
      <c r="K58" s="126"/>
      <c r="L58" s="126"/>
      <c r="M58" s="121">
        <v>55</v>
      </c>
    </row>
    <row r="59" customHeight="1" spans="1:13">
      <c r="A59" s="121">
        <v>56</v>
      </c>
      <c r="B59" s="122">
        <v>45537</v>
      </c>
      <c r="C59" s="123" t="s">
        <v>31</v>
      </c>
      <c r="D59" s="123">
        <v>3</v>
      </c>
      <c r="E59" s="124" t="s">
        <v>729</v>
      </c>
      <c r="F59" s="125" t="s">
        <v>871</v>
      </c>
      <c r="G59" s="123">
        <v>67</v>
      </c>
      <c r="H59" s="126"/>
      <c r="I59" s="126"/>
      <c r="J59" s="126"/>
      <c r="K59" s="126"/>
      <c r="L59" s="126"/>
      <c r="M59" s="121">
        <v>56</v>
      </c>
    </row>
    <row r="60" customHeight="1" spans="1:13">
      <c r="A60" s="121">
        <v>57</v>
      </c>
      <c r="B60" s="122">
        <v>45537</v>
      </c>
      <c r="C60" s="123" t="s">
        <v>31</v>
      </c>
      <c r="D60" s="123">
        <v>3</v>
      </c>
      <c r="E60" s="124" t="s">
        <v>245</v>
      </c>
      <c r="F60" s="125" t="s">
        <v>872</v>
      </c>
      <c r="G60" s="123">
        <v>124</v>
      </c>
      <c r="H60" s="126"/>
      <c r="I60" s="126"/>
      <c r="J60" s="126"/>
      <c r="K60" s="126"/>
      <c r="L60" s="126"/>
      <c r="M60" s="121">
        <v>57</v>
      </c>
    </row>
    <row r="61" customHeight="1" spans="1:13">
      <c r="A61" s="121">
        <v>58</v>
      </c>
      <c r="B61" s="122">
        <v>45537</v>
      </c>
      <c r="C61" s="123" t="s">
        <v>31</v>
      </c>
      <c r="D61" s="123">
        <v>3</v>
      </c>
      <c r="E61" s="124" t="s">
        <v>730</v>
      </c>
      <c r="F61" s="125" t="s">
        <v>873</v>
      </c>
      <c r="G61" s="123">
        <v>7</v>
      </c>
      <c r="H61" s="126"/>
      <c r="I61" s="126"/>
      <c r="J61" s="126"/>
      <c r="K61" s="126"/>
      <c r="L61" s="126"/>
      <c r="M61" s="121">
        <v>58</v>
      </c>
    </row>
    <row r="62" customHeight="1" spans="1:13">
      <c r="A62" s="121">
        <v>59</v>
      </c>
      <c r="B62" s="122">
        <v>45537</v>
      </c>
      <c r="C62" s="123" t="s">
        <v>31</v>
      </c>
      <c r="D62" s="123">
        <v>3</v>
      </c>
      <c r="E62" s="124" t="s">
        <v>253</v>
      </c>
      <c r="F62" s="125" t="s">
        <v>874</v>
      </c>
      <c r="G62" s="123">
        <v>237</v>
      </c>
      <c r="H62" s="126"/>
      <c r="I62" s="126"/>
      <c r="J62" s="126"/>
      <c r="K62" s="126"/>
      <c r="L62" s="126"/>
      <c r="M62" s="121">
        <v>59</v>
      </c>
    </row>
    <row r="63" customHeight="1" spans="1:13">
      <c r="A63" s="121">
        <v>60</v>
      </c>
      <c r="B63" s="122">
        <v>45537</v>
      </c>
      <c r="C63" s="123" t="s">
        <v>31</v>
      </c>
      <c r="D63" s="123">
        <v>3</v>
      </c>
      <c r="E63" s="124" t="s">
        <v>732</v>
      </c>
      <c r="F63" s="125" t="s">
        <v>875</v>
      </c>
      <c r="G63" s="123">
        <v>14</v>
      </c>
      <c r="H63" s="126"/>
      <c r="I63" s="126"/>
      <c r="J63" s="126"/>
      <c r="K63" s="126"/>
      <c r="L63" s="126"/>
      <c r="M63" s="121">
        <v>60</v>
      </c>
    </row>
    <row r="64" customHeight="1" spans="1:13">
      <c r="A64" s="121">
        <v>61</v>
      </c>
      <c r="B64" s="122">
        <v>45537</v>
      </c>
      <c r="C64" s="123" t="s">
        <v>31</v>
      </c>
      <c r="D64" s="123">
        <v>3</v>
      </c>
      <c r="E64" s="124" t="s">
        <v>261</v>
      </c>
      <c r="F64" s="125" t="s">
        <v>872</v>
      </c>
      <c r="G64" s="123">
        <v>16</v>
      </c>
      <c r="H64" s="126"/>
      <c r="I64" s="126"/>
      <c r="J64" s="126"/>
      <c r="K64" s="126"/>
      <c r="L64" s="126"/>
      <c r="M64" s="121">
        <v>61</v>
      </c>
    </row>
    <row r="65" customHeight="1" spans="1:13">
      <c r="A65" s="121">
        <v>62</v>
      </c>
      <c r="B65" s="122">
        <v>45537</v>
      </c>
      <c r="C65" s="123" t="s">
        <v>31</v>
      </c>
      <c r="D65" s="123">
        <v>3</v>
      </c>
      <c r="E65" s="129" t="s">
        <v>262</v>
      </c>
      <c r="F65" s="125" t="s">
        <v>876</v>
      </c>
      <c r="G65" s="123">
        <v>91</v>
      </c>
      <c r="H65" s="126"/>
      <c r="I65" s="126"/>
      <c r="J65" s="126"/>
      <c r="K65" s="126"/>
      <c r="L65" s="126"/>
      <c r="M65" s="121">
        <v>62</v>
      </c>
    </row>
    <row r="66" customHeight="1" spans="1:13">
      <c r="A66" s="121">
        <v>63</v>
      </c>
      <c r="B66" s="122">
        <v>45537</v>
      </c>
      <c r="C66" s="123" t="s">
        <v>31</v>
      </c>
      <c r="D66" s="123">
        <v>3</v>
      </c>
      <c r="E66" s="124" t="s">
        <v>733</v>
      </c>
      <c r="F66" s="125" t="s">
        <v>863</v>
      </c>
      <c r="G66" s="123">
        <v>107</v>
      </c>
      <c r="H66" s="126"/>
      <c r="I66" s="126"/>
      <c r="J66" s="126"/>
      <c r="K66" s="126"/>
      <c r="L66" s="126"/>
      <c r="M66" s="121">
        <v>63</v>
      </c>
    </row>
    <row r="67" customHeight="1" spans="1:13">
      <c r="A67" s="121">
        <v>64</v>
      </c>
      <c r="B67" s="122">
        <v>45537</v>
      </c>
      <c r="C67" s="123" t="s">
        <v>31</v>
      </c>
      <c r="D67" s="123">
        <v>3</v>
      </c>
      <c r="E67" s="124" t="s">
        <v>734</v>
      </c>
      <c r="F67" s="125" t="s">
        <v>877</v>
      </c>
      <c r="G67" s="123">
        <v>55</v>
      </c>
      <c r="H67" s="126"/>
      <c r="I67" s="126"/>
      <c r="J67" s="126"/>
      <c r="K67" s="126"/>
      <c r="L67" s="126"/>
      <c r="M67" s="121">
        <v>64</v>
      </c>
    </row>
    <row r="68" customHeight="1" spans="1:13">
      <c r="A68" s="121">
        <v>65</v>
      </c>
      <c r="B68" s="122">
        <v>45537</v>
      </c>
      <c r="C68" s="123" t="s">
        <v>87</v>
      </c>
      <c r="D68" s="123">
        <v>3</v>
      </c>
      <c r="E68" s="124" t="s">
        <v>273</v>
      </c>
      <c r="F68" s="125" t="s">
        <v>878</v>
      </c>
      <c r="G68" s="123">
        <v>143</v>
      </c>
      <c r="H68" s="126"/>
      <c r="I68" s="126"/>
      <c r="J68" s="126"/>
      <c r="K68" s="126"/>
      <c r="L68" s="126"/>
      <c r="M68" s="121">
        <v>65</v>
      </c>
    </row>
    <row r="69" customHeight="1" spans="1:13">
      <c r="A69" s="121">
        <v>66</v>
      </c>
      <c r="B69" s="122">
        <v>45537</v>
      </c>
      <c r="C69" s="123" t="s">
        <v>87</v>
      </c>
      <c r="D69" s="123">
        <v>3</v>
      </c>
      <c r="E69" s="124" t="s">
        <v>735</v>
      </c>
      <c r="F69" s="127" t="s">
        <v>844</v>
      </c>
      <c r="G69" s="123">
        <v>138</v>
      </c>
      <c r="H69" s="126"/>
      <c r="I69" s="126"/>
      <c r="J69" s="126"/>
      <c r="K69" s="126"/>
      <c r="L69" s="126"/>
      <c r="M69" s="121">
        <v>66</v>
      </c>
    </row>
    <row r="70" customHeight="1" spans="1:13">
      <c r="A70" s="121">
        <v>67</v>
      </c>
      <c r="B70" s="122">
        <v>45537</v>
      </c>
      <c r="C70" s="123" t="s">
        <v>87</v>
      </c>
      <c r="D70" s="123">
        <v>3</v>
      </c>
      <c r="E70" s="124" t="s">
        <v>736</v>
      </c>
      <c r="F70" s="127" t="s">
        <v>838</v>
      </c>
      <c r="G70" s="123">
        <v>109</v>
      </c>
      <c r="H70" s="126"/>
      <c r="I70" s="126"/>
      <c r="J70" s="126"/>
      <c r="K70" s="126"/>
      <c r="L70" s="126"/>
      <c r="M70" s="121">
        <v>67</v>
      </c>
    </row>
    <row r="71" customHeight="1" spans="1:13">
      <c r="A71" s="121">
        <v>68</v>
      </c>
      <c r="B71" s="122">
        <v>45537</v>
      </c>
      <c r="C71" s="123" t="s">
        <v>87</v>
      </c>
      <c r="D71" s="123">
        <v>3</v>
      </c>
      <c r="E71" s="124" t="s">
        <v>737</v>
      </c>
      <c r="F71" s="127" t="s">
        <v>850</v>
      </c>
      <c r="G71" s="123">
        <v>17</v>
      </c>
      <c r="H71" s="126"/>
      <c r="I71" s="126"/>
      <c r="J71" s="126"/>
      <c r="K71" s="126"/>
      <c r="L71" s="126"/>
      <c r="M71" s="121">
        <v>68</v>
      </c>
    </row>
    <row r="72" customHeight="1" spans="1:13">
      <c r="A72" s="121">
        <v>69</v>
      </c>
      <c r="B72" s="122">
        <v>45537</v>
      </c>
      <c r="C72" s="123" t="s">
        <v>87</v>
      </c>
      <c r="D72" s="123">
        <v>3</v>
      </c>
      <c r="E72" s="124" t="s">
        <v>283</v>
      </c>
      <c r="F72" s="127" t="s">
        <v>879</v>
      </c>
      <c r="G72" s="123">
        <v>44</v>
      </c>
      <c r="H72" s="126"/>
      <c r="I72" s="126"/>
      <c r="J72" s="126"/>
      <c r="K72" s="126"/>
      <c r="L72" s="126"/>
      <c r="M72" s="121">
        <v>69</v>
      </c>
    </row>
    <row r="73" customHeight="1" spans="1:13">
      <c r="A73" s="121">
        <v>70</v>
      </c>
      <c r="B73" s="122">
        <v>45537</v>
      </c>
      <c r="C73" s="123" t="s">
        <v>87</v>
      </c>
      <c r="D73" s="123">
        <v>3</v>
      </c>
      <c r="E73" s="124" t="s">
        <v>286</v>
      </c>
      <c r="F73" s="127" t="s">
        <v>833</v>
      </c>
      <c r="G73" s="123">
        <v>784</v>
      </c>
      <c r="H73" s="126"/>
      <c r="I73" s="126"/>
      <c r="J73" s="126"/>
      <c r="K73" s="126"/>
      <c r="L73" s="126"/>
      <c r="M73" s="121">
        <v>70</v>
      </c>
    </row>
    <row r="74" customHeight="1" spans="1:13">
      <c r="A74" s="121">
        <v>71</v>
      </c>
      <c r="B74" s="122">
        <v>45537</v>
      </c>
      <c r="C74" s="123" t="s">
        <v>87</v>
      </c>
      <c r="D74" s="123">
        <v>3</v>
      </c>
      <c r="E74" s="124" t="s">
        <v>738</v>
      </c>
      <c r="F74" s="127" t="s">
        <v>880</v>
      </c>
      <c r="G74" s="123">
        <v>92</v>
      </c>
      <c r="H74" s="126"/>
      <c r="I74" s="126"/>
      <c r="J74" s="126"/>
      <c r="K74" s="126"/>
      <c r="L74" s="126"/>
      <c r="M74" s="121">
        <v>71</v>
      </c>
    </row>
    <row r="75" customHeight="1" spans="1:13">
      <c r="A75" s="121">
        <v>72</v>
      </c>
      <c r="B75" s="122">
        <v>45537</v>
      </c>
      <c r="C75" s="123" t="s">
        <v>87</v>
      </c>
      <c r="D75" s="123">
        <v>3</v>
      </c>
      <c r="E75" s="124" t="s">
        <v>211</v>
      </c>
      <c r="F75" s="125" t="s">
        <v>866</v>
      </c>
      <c r="G75" s="123">
        <v>73</v>
      </c>
      <c r="H75" s="126"/>
      <c r="I75" s="126"/>
      <c r="J75" s="126"/>
      <c r="K75" s="126"/>
      <c r="L75" s="126"/>
      <c r="M75" s="121">
        <v>72</v>
      </c>
    </row>
    <row r="76" customHeight="1" spans="1:13">
      <c r="A76" s="121">
        <v>73</v>
      </c>
      <c r="B76" s="122">
        <v>45537</v>
      </c>
      <c r="C76" s="123" t="s">
        <v>87</v>
      </c>
      <c r="D76" s="123">
        <v>3</v>
      </c>
      <c r="E76" s="124" t="s">
        <v>739</v>
      </c>
      <c r="F76" s="125" t="s">
        <v>870</v>
      </c>
      <c r="G76" s="123">
        <v>37</v>
      </c>
      <c r="H76" s="126"/>
      <c r="I76" s="126"/>
      <c r="J76" s="126"/>
      <c r="K76" s="126"/>
      <c r="L76" s="126"/>
      <c r="M76" s="121">
        <v>73</v>
      </c>
    </row>
    <row r="77" customHeight="1" spans="1:13">
      <c r="A77" s="121">
        <v>74</v>
      </c>
      <c r="B77" s="122">
        <v>45537</v>
      </c>
      <c r="C77" s="123" t="s">
        <v>87</v>
      </c>
      <c r="D77" s="123">
        <v>3</v>
      </c>
      <c r="E77" s="124" t="s">
        <v>740</v>
      </c>
      <c r="F77" s="125" t="s">
        <v>881</v>
      </c>
      <c r="G77" s="123">
        <v>24</v>
      </c>
      <c r="H77" s="126"/>
      <c r="I77" s="126"/>
      <c r="J77" s="126"/>
      <c r="K77" s="126"/>
      <c r="L77" s="126"/>
      <c r="M77" s="121">
        <v>74</v>
      </c>
    </row>
    <row r="78" customHeight="1" spans="1:13">
      <c r="A78" s="121">
        <v>75</v>
      </c>
      <c r="B78" s="122">
        <v>45537</v>
      </c>
      <c r="C78" s="123" t="s">
        <v>87</v>
      </c>
      <c r="D78" s="123">
        <v>3</v>
      </c>
      <c r="E78" s="124" t="s">
        <v>304</v>
      </c>
      <c r="F78" s="125" t="s">
        <v>876</v>
      </c>
      <c r="G78" s="123">
        <v>91</v>
      </c>
      <c r="H78" s="126"/>
      <c r="I78" s="126"/>
      <c r="J78" s="126"/>
      <c r="K78" s="126"/>
      <c r="L78" s="126"/>
      <c r="M78" s="121">
        <v>75</v>
      </c>
    </row>
    <row r="79" customHeight="1" spans="1:13">
      <c r="A79" s="121">
        <v>76</v>
      </c>
      <c r="B79" s="122">
        <v>45537</v>
      </c>
      <c r="C79" s="123" t="s">
        <v>87</v>
      </c>
      <c r="D79" s="123">
        <v>3</v>
      </c>
      <c r="E79" s="124" t="s">
        <v>741</v>
      </c>
      <c r="F79" s="125" t="s">
        <v>882</v>
      </c>
      <c r="G79" s="123">
        <v>7</v>
      </c>
      <c r="H79" s="126"/>
      <c r="I79" s="126"/>
      <c r="J79" s="126"/>
      <c r="K79" s="126"/>
      <c r="L79" s="126"/>
      <c r="M79" s="121">
        <v>76</v>
      </c>
    </row>
    <row r="80" customHeight="1" spans="1:13">
      <c r="A80" s="121">
        <v>77</v>
      </c>
      <c r="B80" s="122">
        <v>45537</v>
      </c>
      <c r="C80" s="123" t="s">
        <v>87</v>
      </c>
      <c r="D80" s="123">
        <v>3</v>
      </c>
      <c r="E80" s="124" t="s">
        <v>269</v>
      </c>
      <c r="F80" s="125" t="s">
        <v>877</v>
      </c>
      <c r="G80" s="123">
        <v>55</v>
      </c>
      <c r="H80" s="126"/>
      <c r="I80" s="126"/>
      <c r="J80" s="126"/>
      <c r="K80" s="126"/>
      <c r="L80" s="126"/>
      <c r="M80" s="121">
        <v>77</v>
      </c>
    </row>
    <row r="81" customHeight="1" spans="1:13">
      <c r="A81" s="121">
        <v>78</v>
      </c>
      <c r="B81" s="122">
        <v>45537</v>
      </c>
      <c r="C81" s="123" t="s">
        <v>312</v>
      </c>
      <c r="D81" s="123">
        <v>4</v>
      </c>
      <c r="E81" s="124" t="s">
        <v>742</v>
      </c>
      <c r="F81" s="125" t="s">
        <v>874</v>
      </c>
      <c r="G81" s="123">
        <v>230</v>
      </c>
      <c r="H81" s="126"/>
      <c r="I81" s="126"/>
      <c r="J81" s="126"/>
      <c r="K81" s="126"/>
      <c r="L81" s="126"/>
      <c r="M81" s="121">
        <v>78</v>
      </c>
    </row>
    <row r="82" customHeight="1" spans="1:13">
      <c r="A82" s="121">
        <v>79</v>
      </c>
      <c r="B82" s="122">
        <v>45538</v>
      </c>
      <c r="C82" s="123" t="s">
        <v>11</v>
      </c>
      <c r="D82" s="123">
        <v>2</v>
      </c>
      <c r="E82" s="124" t="s">
        <v>321</v>
      </c>
      <c r="F82" s="125" t="s">
        <v>841</v>
      </c>
      <c r="G82" s="123">
        <v>55</v>
      </c>
      <c r="H82" s="126"/>
      <c r="I82" s="126"/>
      <c r="J82" s="126"/>
      <c r="K82" s="126"/>
      <c r="L82" s="126"/>
      <c r="M82" s="121">
        <v>79</v>
      </c>
    </row>
    <row r="83" customHeight="1" spans="1:13">
      <c r="A83" s="121">
        <v>80</v>
      </c>
      <c r="B83" s="122">
        <v>45538</v>
      </c>
      <c r="C83" s="123" t="s">
        <v>11</v>
      </c>
      <c r="D83" s="123">
        <v>2</v>
      </c>
      <c r="E83" s="124" t="s">
        <v>743</v>
      </c>
      <c r="F83" s="127" t="s">
        <v>883</v>
      </c>
      <c r="G83" s="123">
        <v>8</v>
      </c>
      <c r="H83" s="126"/>
      <c r="I83" s="126"/>
      <c r="J83" s="126"/>
      <c r="K83" s="126"/>
      <c r="L83" s="126"/>
      <c r="M83" s="121">
        <v>80</v>
      </c>
    </row>
    <row r="84" customHeight="1" spans="1:13">
      <c r="A84" s="121">
        <v>81</v>
      </c>
      <c r="B84" s="122">
        <v>45538</v>
      </c>
      <c r="C84" s="123" t="s">
        <v>11</v>
      </c>
      <c r="D84" s="123">
        <v>2</v>
      </c>
      <c r="E84" s="124" t="s">
        <v>744</v>
      </c>
      <c r="F84" s="127" t="s">
        <v>839</v>
      </c>
      <c r="G84" s="123">
        <v>9</v>
      </c>
      <c r="H84" s="126"/>
      <c r="I84" s="126"/>
      <c r="J84" s="126"/>
      <c r="K84" s="126"/>
      <c r="L84" s="126"/>
      <c r="M84" s="121">
        <v>81</v>
      </c>
    </row>
    <row r="85" customHeight="1" spans="1:13">
      <c r="A85" s="121">
        <v>82</v>
      </c>
      <c r="B85" s="122">
        <v>45538</v>
      </c>
      <c r="C85" s="123" t="s">
        <v>31</v>
      </c>
      <c r="D85" s="123">
        <v>3</v>
      </c>
      <c r="E85" s="124" t="s">
        <v>745</v>
      </c>
      <c r="F85" s="127" t="s">
        <v>884</v>
      </c>
      <c r="G85" s="123">
        <v>19</v>
      </c>
      <c r="H85" s="126"/>
      <c r="I85" s="126"/>
      <c r="J85" s="126"/>
      <c r="K85" s="126"/>
      <c r="L85" s="126"/>
      <c r="M85" s="121">
        <v>82</v>
      </c>
    </row>
    <row r="86" customHeight="1" spans="1:13">
      <c r="A86" s="121">
        <v>83</v>
      </c>
      <c r="B86" s="122">
        <v>45538</v>
      </c>
      <c r="C86" s="123" t="s">
        <v>31</v>
      </c>
      <c r="D86" s="123">
        <v>3</v>
      </c>
      <c r="E86" s="124" t="s">
        <v>332</v>
      </c>
      <c r="F86" s="125" t="s">
        <v>843</v>
      </c>
      <c r="G86" s="123">
        <v>42</v>
      </c>
      <c r="H86" s="126"/>
      <c r="I86" s="126"/>
      <c r="J86" s="126"/>
      <c r="K86" s="126"/>
      <c r="L86" s="126"/>
      <c r="M86" s="121">
        <v>83</v>
      </c>
    </row>
    <row r="87" customHeight="1" spans="1:13">
      <c r="A87" s="121">
        <v>84</v>
      </c>
      <c r="B87" s="122">
        <v>45538</v>
      </c>
      <c r="C87" s="123" t="s">
        <v>31</v>
      </c>
      <c r="D87" s="123">
        <v>3</v>
      </c>
      <c r="E87" s="124" t="s">
        <v>746</v>
      </c>
      <c r="F87" s="127" t="s">
        <v>885</v>
      </c>
      <c r="G87" s="123">
        <v>18</v>
      </c>
      <c r="H87" s="126"/>
      <c r="I87" s="126"/>
      <c r="J87" s="126"/>
      <c r="K87" s="126"/>
      <c r="L87" s="126"/>
      <c r="M87" s="121">
        <v>84</v>
      </c>
    </row>
    <row r="88" customHeight="1" spans="1:13">
      <c r="A88" s="121">
        <v>85</v>
      </c>
      <c r="B88" s="122">
        <v>45538</v>
      </c>
      <c r="C88" s="123" t="s">
        <v>31</v>
      </c>
      <c r="D88" s="123">
        <v>3</v>
      </c>
      <c r="E88" s="124" t="s">
        <v>338</v>
      </c>
      <c r="F88" s="127" t="s">
        <v>886</v>
      </c>
      <c r="G88" s="123">
        <v>52</v>
      </c>
      <c r="H88" s="126"/>
      <c r="I88" s="126"/>
      <c r="J88" s="126"/>
      <c r="K88" s="126"/>
      <c r="L88" s="126"/>
      <c r="M88" s="121">
        <v>85</v>
      </c>
    </row>
    <row r="89" customHeight="1" spans="1:13">
      <c r="A89" s="121">
        <v>86</v>
      </c>
      <c r="B89" s="122">
        <v>45538</v>
      </c>
      <c r="C89" s="123" t="s">
        <v>31</v>
      </c>
      <c r="D89" s="123">
        <v>3</v>
      </c>
      <c r="E89" s="124" t="s">
        <v>747</v>
      </c>
      <c r="F89" s="125" t="s">
        <v>870</v>
      </c>
      <c r="G89" s="123">
        <v>46</v>
      </c>
      <c r="H89" s="126"/>
      <c r="I89" s="126"/>
      <c r="J89" s="126"/>
      <c r="K89" s="126"/>
      <c r="L89" s="126"/>
      <c r="M89" s="121">
        <v>86</v>
      </c>
    </row>
    <row r="90" customHeight="1" spans="1:13">
      <c r="A90" s="121">
        <v>87</v>
      </c>
      <c r="B90" s="122">
        <v>45538</v>
      </c>
      <c r="C90" s="123" t="s">
        <v>31</v>
      </c>
      <c r="D90" s="123">
        <v>3</v>
      </c>
      <c r="E90" s="124" t="s">
        <v>748</v>
      </c>
      <c r="F90" s="125" t="s">
        <v>862</v>
      </c>
      <c r="G90" s="123">
        <v>21</v>
      </c>
      <c r="H90" s="126"/>
      <c r="I90" s="126"/>
      <c r="J90" s="126"/>
      <c r="K90" s="126"/>
      <c r="L90" s="126"/>
      <c r="M90" s="121">
        <v>87</v>
      </c>
    </row>
    <row r="91" customHeight="1" spans="1:13">
      <c r="A91" s="121">
        <v>88</v>
      </c>
      <c r="B91" s="122">
        <v>45538</v>
      </c>
      <c r="C91" s="123" t="s">
        <v>31</v>
      </c>
      <c r="D91" s="123">
        <v>3</v>
      </c>
      <c r="E91" s="124" t="s">
        <v>343</v>
      </c>
      <c r="F91" s="127" t="s">
        <v>887</v>
      </c>
      <c r="G91" s="123">
        <v>44</v>
      </c>
      <c r="H91" s="126"/>
      <c r="I91" s="126"/>
      <c r="J91" s="126"/>
      <c r="K91" s="126"/>
      <c r="L91" s="126"/>
      <c r="M91" s="121">
        <v>88</v>
      </c>
    </row>
    <row r="92" customHeight="1" spans="1:13">
      <c r="A92" s="121">
        <v>89</v>
      </c>
      <c r="B92" s="122">
        <v>45538</v>
      </c>
      <c r="C92" s="123" t="s">
        <v>31</v>
      </c>
      <c r="D92" s="123">
        <v>3</v>
      </c>
      <c r="E92" s="124" t="s">
        <v>749</v>
      </c>
      <c r="F92" s="125" t="s">
        <v>888</v>
      </c>
      <c r="G92" s="123">
        <v>151</v>
      </c>
      <c r="H92" s="126"/>
      <c r="I92" s="126"/>
      <c r="J92" s="126"/>
      <c r="K92" s="126"/>
      <c r="L92" s="126"/>
      <c r="M92" s="121">
        <v>89</v>
      </c>
    </row>
    <row r="93" customHeight="1" spans="1:13">
      <c r="A93" s="121">
        <v>90</v>
      </c>
      <c r="B93" s="122">
        <v>45538</v>
      </c>
      <c r="C93" s="123" t="s">
        <v>31</v>
      </c>
      <c r="D93" s="123">
        <v>3</v>
      </c>
      <c r="E93" s="124" t="s">
        <v>750</v>
      </c>
      <c r="F93" s="125" t="s">
        <v>889</v>
      </c>
      <c r="G93" s="123">
        <v>49</v>
      </c>
      <c r="H93" s="126"/>
      <c r="I93" s="126"/>
      <c r="J93" s="126"/>
      <c r="K93" s="126"/>
      <c r="L93" s="126"/>
      <c r="M93" s="121">
        <v>90</v>
      </c>
    </row>
    <row r="94" customHeight="1" spans="1:13">
      <c r="A94" s="121">
        <v>91</v>
      </c>
      <c r="B94" s="122">
        <v>45538</v>
      </c>
      <c r="C94" s="123" t="s">
        <v>31</v>
      </c>
      <c r="D94" s="123">
        <v>3</v>
      </c>
      <c r="E94" s="124" t="s">
        <v>353</v>
      </c>
      <c r="F94" s="125" t="s">
        <v>890</v>
      </c>
      <c r="G94" s="123">
        <v>115</v>
      </c>
      <c r="H94" s="126"/>
      <c r="I94" s="126"/>
      <c r="J94" s="126"/>
      <c r="K94" s="126"/>
      <c r="L94" s="126"/>
      <c r="M94" s="121">
        <v>91</v>
      </c>
    </row>
    <row r="95" customHeight="1" spans="1:13">
      <c r="A95" s="121">
        <v>92</v>
      </c>
      <c r="B95" s="122">
        <v>45538</v>
      </c>
      <c r="C95" s="123" t="s">
        <v>31</v>
      </c>
      <c r="D95" s="123">
        <v>3</v>
      </c>
      <c r="E95" s="124" t="s">
        <v>751</v>
      </c>
      <c r="F95" s="125" t="s">
        <v>877</v>
      </c>
      <c r="G95" s="123">
        <v>49</v>
      </c>
      <c r="H95" s="126"/>
      <c r="I95" s="126"/>
      <c r="J95" s="126"/>
      <c r="K95" s="126"/>
      <c r="L95" s="126"/>
      <c r="M95" s="121">
        <v>92</v>
      </c>
    </row>
    <row r="96" customHeight="1" spans="1:13">
      <c r="A96" s="121">
        <v>93</v>
      </c>
      <c r="B96" s="122">
        <v>45538</v>
      </c>
      <c r="C96" s="123" t="s">
        <v>80</v>
      </c>
      <c r="D96" s="123">
        <v>2</v>
      </c>
      <c r="E96" s="124" t="s">
        <v>752</v>
      </c>
      <c r="F96" s="127" t="s">
        <v>886</v>
      </c>
      <c r="G96" s="123">
        <v>52</v>
      </c>
      <c r="H96" s="126"/>
      <c r="I96" s="126"/>
      <c r="J96" s="126"/>
      <c r="K96" s="126"/>
      <c r="L96" s="126"/>
      <c r="M96" s="121">
        <v>93</v>
      </c>
    </row>
    <row r="97" customHeight="1" spans="1:13">
      <c r="A97" s="121">
        <v>94</v>
      </c>
      <c r="B97" s="122">
        <v>45538</v>
      </c>
      <c r="C97" s="123" t="s">
        <v>80</v>
      </c>
      <c r="D97" s="123">
        <v>2</v>
      </c>
      <c r="E97" s="124" t="s">
        <v>358</v>
      </c>
      <c r="F97" s="127" t="s">
        <v>891</v>
      </c>
      <c r="G97" s="123">
        <v>173</v>
      </c>
      <c r="H97" s="126"/>
      <c r="I97" s="126"/>
      <c r="J97" s="126"/>
      <c r="K97" s="126"/>
      <c r="L97" s="126"/>
      <c r="M97" s="121">
        <v>94</v>
      </c>
    </row>
    <row r="98" customHeight="1" spans="1:13">
      <c r="A98" s="121">
        <v>95</v>
      </c>
      <c r="B98" s="122">
        <v>45538</v>
      </c>
      <c r="C98" s="123" t="s">
        <v>80</v>
      </c>
      <c r="D98" s="123">
        <v>2</v>
      </c>
      <c r="E98" s="124" t="s">
        <v>753</v>
      </c>
      <c r="F98" s="127" t="s">
        <v>828</v>
      </c>
      <c r="G98" s="123">
        <v>22</v>
      </c>
      <c r="H98" s="126"/>
      <c r="I98" s="126"/>
      <c r="J98" s="126"/>
      <c r="K98" s="126"/>
      <c r="L98" s="126"/>
      <c r="M98" s="121">
        <v>95</v>
      </c>
    </row>
    <row r="99" customHeight="1" spans="1:13">
      <c r="A99" s="121">
        <v>96</v>
      </c>
      <c r="B99" s="122">
        <v>45538</v>
      </c>
      <c r="C99" s="123" t="s">
        <v>87</v>
      </c>
      <c r="D99" s="123">
        <v>3</v>
      </c>
      <c r="E99" s="124" t="s">
        <v>365</v>
      </c>
      <c r="F99" s="127" t="s">
        <v>885</v>
      </c>
      <c r="G99" s="123">
        <v>83</v>
      </c>
      <c r="H99" s="126"/>
      <c r="I99" s="126"/>
      <c r="J99" s="126"/>
      <c r="K99" s="126"/>
      <c r="L99" s="126"/>
      <c r="M99" s="121">
        <v>96</v>
      </c>
    </row>
    <row r="100" customHeight="1" spans="1:13">
      <c r="A100" s="121">
        <v>97</v>
      </c>
      <c r="B100" s="122">
        <v>45538</v>
      </c>
      <c r="C100" s="123" t="s">
        <v>87</v>
      </c>
      <c r="D100" s="123">
        <v>3</v>
      </c>
      <c r="E100" s="124" t="s">
        <v>892</v>
      </c>
      <c r="F100" s="127" t="s">
        <v>893</v>
      </c>
      <c r="G100" s="123">
        <v>2</v>
      </c>
      <c r="H100" s="126"/>
      <c r="I100" s="126"/>
      <c r="J100" s="126"/>
      <c r="K100" s="126"/>
      <c r="L100" s="126"/>
      <c r="M100" s="121">
        <v>97</v>
      </c>
    </row>
    <row r="101" customHeight="1" spans="1:13">
      <c r="A101" s="121">
        <v>98</v>
      </c>
      <c r="B101" s="122">
        <v>45538</v>
      </c>
      <c r="C101" s="123" t="s">
        <v>87</v>
      </c>
      <c r="D101" s="123">
        <v>3</v>
      </c>
      <c r="E101" s="124" t="s">
        <v>755</v>
      </c>
      <c r="F101" s="127" t="s">
        <v>866</v>
      </c>
      <c r="G101" s="123">
        <v>126</v>
      </c>
      <c r="H101" s="126"/>
      <c r="I101" s="126"/>
      <c r="J101" s="126"/>
      <c r="K101" s="126"/>
      <c r="L101" s="126"/>
      <c r="M101" s="121">
        <v>98</v>
      </c>
    </row>
    <row r="102" customHeight="1" spans="1:13">
      <c r="A102" s="121">
        <v>99</v>
      </c>
      <c r="B102" s="122">
        <v>45538</v>
      </c>
      <c r="C102" s="123" t="s">
        <v>87</v>
      </c>
      <c r="D102" s="123">
        <v>3</v>
      </c>
      <c r="E102" s="124" t="s">
        <v>756</v>
      </c>
      <c r="F102" s="127" t="s">
        <v>870</v>
      </c>
      <c r="G102" s="123">
        <v>146</v>
      </c>
      <c r="H102" s="126"/>
      <c r="I102" s="126"/>
      <c r="J102" s="126"/>
      <c r="K102" s="126"/>
      <c r="L102" s="126"/>
      <c r="M102" s="121">
        <v>99</v>
      </c>
    </row>
    <row r="103" customHeight="1" spans="1:13">
      <c r="A103" s="121">
        <v>100</v>
      </c>
      <c r="B103" s="122">
        <v>45538</v>
      </c>
      <c r="C103" s="123" t="s">
        <v>87</v>
      </c>
      <c r="D103" s="123">
        <v>3</v>
      </c>
      <c r="E103" s="124" t="s">
        <v>757</v>
      </c>
      <c r="F103" s="125" t="s">
        <v>894</v>
      </c>
      <c r="G103" s="123">
        <v>12</v>
      </c>
      <c r="H103" s="126"/>
      <c r="I103" s="126"/>
      <c r="J103" s="126"/>
      <c r="K103" s="126"/>
      <c r="L103" s="126"/>
      <c r="M103" s="121">
        <v>100</v>
      </c>
    </row>
    <row r="104" customHeight="1" spans="1:13">
      <c r="A104" s="121">
        <v>101</v>
      </c>
      <c r="B104" s="122">
        <v>45538</v>
      </c>
      <c r="C104" s="123" t="s">
        <v>87</v>
      </c>
      <c r="D104" s="123">
        <v>3</v>
      </c>
      <c r="E104" s="124" t="s">
        <v>758</v>
      </c>
      <c r="F104" s="125" t="s">
        <v>888</v>
      </c>
      <c r="G104" s="123">
        <v>117</v>
      </c>
      <c r="H104" s="126"/>
      <c r="I104" s="126"/>
      <c r="J104" s="126"/>
      <c r="K104" s="126"/>
      <c r="L104" s="126"/>
      <c r="M104" s="121">
        <v>101</v>
      </c>
    </row>
    <row r="105" customHeight="1" spans="1:13">
      <c r="A105" s="121">
        <v>102</v>
      </c>
      <c r="B105" s="122">
        <v>45538</v>
      </c>
      <c r="C105" s="123" t="s">
        <v>87</v>
      </c>
      <c r="D105" s="123">
        <v>3</v>
      </c>
      <c r="E105" s="124" t="s">
        <v>759</v>
      </c>
      <c r="F105" s="125" t="s">
        <v>895</v>
      </c>
      <c r="G105" s="123">
        <v>24</v>
      </c>
      <c r="H105" s="126"/>
      <c r="I105" s="126"/>
      <c r="J105" s="126"/>
      <c r="K105" s="126"/>
      <c r="L105" s="126"/>
      <c r="M105" s="121">
        <v>102</v>
      </c>
    </row>
    <row r="106" customHeight="1" spans="1:13">
      <c r="A106" s="121">
        <v>103</v>
      </c>
      <c r="B106" s="122">
        <v>45538</v>
      </c>
      <c r="C106" s="123" t="s">
        <v>312</v>
      </c>
      <c r="D106" s="123">
        <v>4</v>
      </c>
      <c r="E106" s="124" t="s">
        <v>760</v>
      </c>
      <c r="F106" s="127" t="s">
        <v>889</v>
      </c>
      <c r="G106" s="123">
        <v>49</v>
      </c>
      <c r="H106" s="126"/>
      <c r="I106" s="126"/>
      <c r="J106" s="126"/>
      <c r="K106" s="126"/>
      <c r="L106" s="126"/>
      <c r="M106" s="121">
        <v>103</v>
      </c>
    </row>
    <row r="107" customHeight="1" spans="1:13">
      <c r="A107" s="121">
        <v>104</v>
      </c>
      <c r="B107" s="122">
        <v>45539</v>
      </c>
      <c r="C107" s="123" t="s">
        <v>11</v>
      </c>
      <c r="D107" s="123">
        <v>2</v>
      </c>
      <c r="E107" s="124" t="s">
        <v>384</v>
      </c>
      <c r="F107" s="127" t="s">
        <v>896</v>
      </c>
      <c r="G107" s="123">
        <v>20</v>
      </c>
      <c r="H107" s="126"/>
      <c r="I107" s="126"/>
      <c r="J107" s="126"/>
      <c r="K107" s="126"/>
      <c r="L107" s="126"/>
      <c r="M107" s="121">
        <v>104</v>
      </c>
    </row>
    <row r="108" customHeight="1" spans="1:13">
      <c r="A108" s="121">
        <v>105</v>
      </c>
      <c r="B108" s="122">
        <v>45539</v>
      </c>
      <c r="C108" s="123" t="s">
        <v>31</v>
      </c>
      <c r="D108" s="123">
        <v>3</v>
      </c>
      <c r="E108" s="124" t="s">
        <v>761</v>
      </c>
      <c r="F108" s="127" t="s">
        <v>897</v>
      </c>
      <c r="G108" s="123">
        <v>63</v>
      </c>
      <c r="H108" s="126"/>
      <c r="I108" s="126"/>
      <c r="J108" s="126"/>
      <c r="K108" s="126"/>
      <c r="L108" s="126"/>
      <c r="M108" s="121">
        <v>105</v>
      </c>
    </row>
    <row r="109" customHeight="1" spans="1:13">
      <c r="A109" s="121">
        <v>106</v>
      </c>
      <c r="B109" s="122">
        <v>45539</v>
      </c>
      <c r="C109" s="123" t="s">
        <v>31</v>
      </c>
      <c r="D109" s="123">
        <v>3</v>
      </c>
      <c r="E109" s="124" t="s">
        <v>392</v>
      </c>
      <c r="F109" s="127" t="s">
        <v>898</v>
      </c>
      <c r="G109" s="123">
        <v>631</v>
      </c>
      <c r="H109" s="126"/>
      <c r="I109" s="126"/>
      <c r="J109" s="126"/>
      <c r="K109" s="126"/>
      <c r="L109" s="126"/>
      <c r="M109" s="121">
        <v>106</v>
      </c>
    </row>
    <row r="110" customHeight="1" spans="1:13">
      <c r="A110" s="121">
        <v>107</v>
      </c>
      <c r="B110" s="122">
        <v>45539</v>
      </c>
      <c r="C110" s="123" t="s">
        <v>31</v>
      </c>
      <c r="D110" s="123">
        <v>3</v>
      </c>
      <c r="E110" s="129" t="s">
        <v>762</v>
      </c>
      <c r="F110" s="127" t="s">
        <v>829</v>
      </c>
      <c r="G110" s="128">
        <v>11</v>
      </c>
      <c r="H110" s="126"/>
      <c r="I110" s="126"/>
      <c r="J110" s="126"/>
      <c r="K110" s="126"/>
      <c r="L110" s="126"/>
      <c r="M110" s="121">
        <v>107</v>
      </c>
    </row>
    <row r="111" customHeight="1" spans="1:13">
      <c r="A111" s="121">
        <v>108</v>
      </c>
      <c r="B111" s="122">
        <v>45539</v>
      </c>
      <c r="C111" s="123" t="s">
        <v>31</v>
      </c>
      <c r="D111" s="123">
        <v>3</v>
      </c>
      <c r="E111" s="124" t="s">
        <v>763</v>
      </c>
      <c r="F111" s="125" t="s">
        <v>899</v>
      </c>
      <c r="G111" s="123">
        <v>7</v>
      </c>
      <c r="H111" s="126"/>
      <c r="I111" s="126"/>
      <c r="J111" s="126"/>
      <c r="K111" s="126"/>
      <c r="L111" s="126"/>
      <c r="M111" s="121">
        <v>108</v>
      </c>
    </row>
    <row r="112" customHeight="1" spans="1:13">
      <c r="A112" s="121">
        <v>109</v>
      </c>
      <c r="B112" s="122">
        <v>45539</v>
      </c>
      <c r="C112" s="123" t="s">
        <v>31</v>
      </c>
      <c r="D112" s="123">
        <v>3</v>
      </c>
      <c r="E112" s="124" t="s">
        <v>159</v>
      </c>
      <c r="F112" s="125" t="s">
        <v>853</v>
      </c>
      <c r="G112" s="123">
        <v>75</v>
      </c>
      <c r="H112" s="126"/>
      <c r="I112" s="126"/>
      <c r="J112" s="126"/>
      <c r="K112" s="126"/>
      <c r="L112" s="126"/>
      <c r="M112" s="121">
        <v>109</v>
      </c>
    </row>
    <row r="113" customHeight="1" spans="1:13">
      <c r="A113" s="121">
        <v>110</v>
      </c>
      <c r="B113" s="122">
        <v>45539</v>
      </c>
      <c r="C113" s="123" t="s">
        <v>31</v>
      </c>
      <c r="D113" s="123">
        <v>3</v>
      </c>
      <c r="E113" s="124" t="s">
        <v>764</v>
      </c>
      <c r="F113" s="125" t="s">
        <v>888</v>
      </c>
      <c r="G113" s="123">
        <v>83</v>
      </c>
      <c r="H113" s="126"/>
      <c r="I113" s="126"/>
      <c r="J113" s="126"/>
      <c r="K113" s="126"/>
      <c r="L113" s="126"/>
      <c r="M113" s="121">
        <v>110</v>
      </c>
    </row>
    <row r="114" customHeight="1" spans="1:13">
      <c r="A114" s="121">
        <v>111</v>
      </c>
      <c r="B114" s="122">
        <v>45539</v>
      </c>
      <c r="C114" s="123" t="s">
        <v>31</v>
      </c>
      <c r="D114" s="123">
        <v>3</v>
      </c>
      <c r="E114" s="124" t="s">
        <v>765</v>
      </c>
      <c r="F114" s="125" t="s">
        <v>900</v>
      </c>
      <c r="G114" s="123">
        <v>41</v>
      </c>
      <c r="H114" s="126"/>
      <c r="I114" s="126"/>
      <c r="J114" s="126"/>
      <c r="K114" s="126"/>
      <c r="L114" s="126"/>
      <c r="M114" s="121">
        <v>111</v>
      </c>
    </row>
    <row r="115" customHeight="1" spans="1:13">
      <c r="A115" s="121">
        <v>112</v>
      </c>
      <c r="B115" s="122">
        <v>45539</v>
      </c>
      <c r="C115" s="123" t="s">
        <v>87</v>
      </c>
      <c r="D115" s="123">
        <v>3</v>
      </c>
      <c r="E115" s="124" t="s">
        <v>766</v>
      </c>
      <c r="F115" s="125" t="s">
        <v>901</v>
      </c>
      <c r="G115" s="123">
        <v>4</v>
      </c>
      <c r="H115" s="126"/>
      <c r="I115" s="126"/>
      <c r="J115" s="126"/>
      <c r="K115" s="126"/>
      <c r="L115" s="126"/>
      <c r="M115" s="121">
        <v>112</v>
      </c>
    </row>
    <row r="116" customHeight="1" spans="1:13">
      <c r="A116" s="121">
        <v>113</v>
      </c>
      <c r="B116" s="122">
        <v>45539</v>
      </c>
      <c r="C116" s="123" t="s">
        <v>87</v>
      </c>
      <c r="D116" s="123">
        <v>3</v>
      </c>
      <c r="E116" s="124" t="s">
        <v>411</v>
      </c>
      <c r="F116" s="127" t="s">
        <v>851</v>
      </c>
      <c r="G116" s="123">
        <v>19</v>
      </c>
      <c r="H116" s="126"/>
      <c r="I116" s="126"/>
      <c r="J116" s="126"/>
      <c r="K116" s="126"/>
      <c r="L116" s="126"/>
      <c r="M116" s="121">
        <v>113</v>
      </c>
    </row>
    <row r="117" customHeight="1" spans="1:13">
      <c r="A117" s="121">
        <v>114</v>
      </c>
      <c r="B117" s="122">
        <v>45539</v>
      </c>
      <c r="C117" s="123" t="s">
        <v>87</v>
      </c>
      <c r="D117" s="123">
        <v>3</v>
      </c>
      <c r="E117" s="124" t="s">
        <v>767</v>
      </c>
      <c r="F117" s="127" t="s">
        <v>832</v>
      </c>
      <c r="G117" s="123">
        <v>7</v>
      </c>
      <c r="H117" s="126"/>
      <c r="I117" s="126"/>
      <c r="J117" s="126"/>
      <c r="K117" s="126"/>
      <c r="L117" s="126"/>
      <c r="M117" s="121">
        <v>114</v>
      </c>
    </row>
    <row r="118" customHeight="1" spans="1:13">
      <c r="A118" s="121">
        <v>115</v>
      </c>
      <c r="B118" s="122">
        <v>45539</v>
      </c>
      <c r="C118" s="123" t="s">
        <v>87</v>
      </c>
      <c r="D118" s="123">
        <v>3</v>
      </c>
      <c r="E118" s="124" t="s">
        <v>413</v>
      </c>
      <c r="F118" s="125" t="s">
        <v>827</v>
      </c>
      <c r="G118" s="123">
        <v>22</v>
      </c>
      <c r="H118" s="126"/>
      <c r="I118" s="126"/>
      <c r="J118" s="126"/>
      <c r="K118" s="126"/>
      <c r="L118" s="126"/>
      <c r="M118" s="121">
        <v>115</v>
      </c>
    </row>
    <row r="119" customHeight="1" spans="1:13">
      <c r="A119" s="121">
        <v>116</v>
      </c>
      <c r="B119" s="122">
        <v>45539</v>
      </c>
      <c r="C119" s="123" t="s">
        <v>87</v>
      </c>
      <c r="D119" s="123">
        <v>3</v>
      </c>
      <c r="E119" s="124" t="s">
        <v>768</v>
      </c>
      <c r="F119" s="127" t="s">
        <v>893</v>
      </c>
      <c r="G119" s="123">
        <v>7</v>
      </c>
      <c r="H119" s="126"/>
      <c r="I119" s="126"/>
      <c r="J119" s="126"/>
      <c r="K119" s="126"/>
      <c r="L119" s="126"/>
      <c r="M119" s="121">
        <v>116</v>
      </c>
    </row>
    <row r="120" customHeight="1" spans="1:13">
      <c r="A120" s="121">
        <v>117</v>
      </c>
      <c r="B120" s="122">
        <v>45539</v>
      </c>
      <c r="C120" s="123" t="s">
        <v>87</v>
      </c>
      <c r="D120" s="123">
        <v>3</v>
      </c>
      <c r="E120" s="124" t="s">
        <v>418</v>
      </c>
      <c r="F120" s="125" t="s">
        <v>882</v>
      </c>
      <c r="G120" s="123">
        <v>327</v>
      </c>
      <c r="H120" s="126"/>
      <c r="I120" s="126"/>
      <c r="J120" s="126"/>
      <c r="K120" s="126"/>
      <c r="L120" s="126"/>
      <c r="M120" s="121">
        <v>117</v>
      </c>
    </row>
    <row r="121" customHeight="1" spans="1:13">
      <c r="A121" s="121">
        <v>118</v>
      </c>
      <c r="B121" s="122">
        <v>45539</v>
      </c>
      <c r="C121" s="123" t="s">
        <v>87</v>
      </c>
      <c r="D121" s="123">
        <v>3</v>
      </c>
      <c r="E121" s="124" t="s">
        <v>769</v>
      </c>
      <c r="F121" s="125" t="s">
        <v>849</v>
      </c>
      <c r="G121" s="123">
        <v>17</v>
      </c>
      <c r="H121" s="126"/>
      <c r="I121" s="126"/>
      <c r="J121" s="126"/>
      <c r="K121" s="126"/>
      <c r="L121" s="126"/>
      <c r="M121" s="121">
        <v>118</v>
      </c>
    </row>
    <row r="122" customHeight="1" spans="1:13">
      <c r="A122" s="121">
        <v>119</v>
      </c>
      <c r="B122" s="122">
        <v>45539</v>
      </c>
      <c r="C122" s="123" t="s">
        <v>87</v>
      </c>
      <c r="D122" s="123">
        <v>3</v>
      </c>
      <c r="E122" s="124" t="s">
        <v>422</v>
      </c>
      <c r="F122" s="125" t="s">
        <v>894</v>
      </c>
      <c r="G122" s="123">
        <v>46</v>
      </c>
      <c r="H122" s="126"/>
      <c r="I122" s="126"/>
      <c r="J122" s="126"/>
      <c r="K122" s="126"/>
      <c r="L122" s="126"/>
      <c r="M122" s="121">
        <v>119</v>
      </c>
    </row>
    <row r="123" customHeight="1" spans="1:13">
      <c r="A123" s="121">
        <v>120</v>
      </c>
      <c r="B123" s="122">
        <v>45539</v>
      </c>
      <c r="C123" s="123" t="s">
        <v>87</v>
      </c>
      <c r="D123" s="123">
        <v>3</v>
      </c>
      <c r="E123" s="124" t="s">
        <v>770</v>
      </c>
      <c r="F123" s="125" t="s">
        <v>902</v>
      </c>
      <c r="G123" s="123">
        <v>13</v>
      </c>
      <c r="H123" s="126"/>
      <c r="I123" s="126"/>
      <c r="J123" s="126"/>
      <c r="K123" s="126"/>
      <c r="L123" s="126"/>
      <c r="M123" s="121">
        <v>120</v>
      </c>
    </row>
    <row r="124" customHeight="1" spans="1:13">
      <c r="A124" s="121">
        <v>121</v>
      </c>
      <c r="B124" s="122">
        <v>45539</v>
      </c>
      <c r="C124" s="123" t="s">
        <v>87</v>
      </c>
      <c r="D124" s="123">
        <v>3</v>
      </c>
      <c r="E124" s="124" t="s">
        <v>427</v>
      </c>
      <c r="F124" s="125" t="s">
        <v>856</v>
      </c>
      <c r="G124" s="123">
        <v>211</v>
      </c>
      <c r="H124" s="126"/>
      <c r="I124" s="126"/>
      <c r="J124" s="126"/>
      <c r="K124" s="126"/>
      <c r="L124" s="126"/>
      <c r="M124" s="121">
        <v>121</v>
      </c>
    </row>
    <row r="125" customHeight="1" spans="1:13">
      <c r="A125" s="121">
        <v>122</v>
      </c>
      <c r="B125" s="122">
        <v>45540</v>
      </c>
      <c r="C125" s="123" t="s">
        <v>11</v>
      </c>
      <c r="D125" s="123">
        <v>2</v>
      </c>
      <c r="E125" s="124" t="s">
        <v>429</v>
      </c>
      <c r="F125" s="127" t="s">
        <v>859</v>
      </c>
      <c r="G125" s="123">
        <v>12</v>
      </c>
      <c r="H125" s="126"/>
      <c r="I125" s="126"/>
      <c r="J125" s="126"/>
      <c r="K125" s="126"/>
      <c r="L125" s="126"/>
      <c r="M125" s="121">
        <v>122</v>
      </c>
    </row>
    <row r="126" customHeight="1" spans="1:13">
      <c r="A126" s="121">
        <v>123</v>
      </c>
      <c r="B126" s="122">
        <v>45540</v>
      </c>
      <c r="C126" s="123" t="s">
        <v>31</v>
      </c>
      <c r="D126" s="123">
        <v>3</v>
      </c>
      <c r="E126" s="124" t="s">
        <v>432</v>
      </c>
      <c r="F126" s="125" t="s">
        <v>897</v>
      </c>
      <c r="G126" s="123">
        <v>55</v>
      </c>
      <c r="H126" s="126"/>
      <c r="I126" s="126"/>
      <c r="J126" s="126"/>
      <c r="K126" s="126"/>
      <c r="L126" s="126"/>
      <c r="M126" s="121">
        <v>123</v>
      </c>
    </row>
    <row r="127" customHeight="1" spans="1:13">
      <c r="A127" s="121">
        <v>124</v>
      </c>
      <c r="B127" s="122">
        <v>45540</v>
      </c>
      <c r="C127" s="123" t="s">
        <v>31</v>
      </c>
      <c r="D127" s="123">
        <v>3</v>
      </c>
      <c r="E127" s="124" t="s">
        <v>771</v>
      </c>
      <c r="F127" s="125" t="s">
        <v>865</v>
      </c>
      <c r="G127" s="123">
        <v>5</v>
      </c>
      <c r="H127" s="126"/>
      <c r="I127" s="126"/>
      <c r="J127" s="126"/>
      <c r="K127" s="126"/>
      <c r="L127" s="126"/>
      <c r="M127" s="121">
        <v>124</v>
      </c>
    </row>
    <row r="128" customHeight="1" spans="1:13">
      <c r="A128" s="121">
        <v>125</v>
      </c>
      <c r="B128" s="122">
        <v>45540</v>
      </c>
      <c r="C128" s="123" t="s">
        <v>31</v>
      </c>
      <c r="D128" s="123">
        <v>3</v>
      </c>
      <c r="E128" s="124" t="s">
        <v>436</v>
      </c>
      <c r="F128" s="125" t="s">
        <v>885</v>
      </c>
      <c r="G128" s="123">
        <v>35</v>
      </c>
      <c r="H128" s="126"/>
      <c r="I128" s="126"/>
      <c r="J128" s="126"/>
      <c r="K128" s="126"/>
      <c r="L128" s="126"/>
      <c r="M128" s="121">
        <v>125</v>
      </c>
    </row>
    <row r="129" customHeight="1" spans="1:13">
      <c r="A129" s="121">
        <v>126</v>
      </c>
      <c r="B129" s="122">
        <v>45540</v>
      </c>
      <c r="C129" s="123" t="s">
        <v>31</v>
      </c>
      <c r="D129" s="123">
        <v>3</v>
      </c>
      <c r="E129" s="124" t="s">
        <v>438</v>
      </c>
      <c r="F129" s="125" t="s">
        <v>903</v>
      </c>
      <c r="G129" s="123">
        <v>25</v>
      </c>
      <c r="H129" s="126"/>
      <c r="I129" s="126"/>
      <c r="J129" s="126"/>
      <c r="K129" s="126"/>
      <c r="L129" s="126"/>
      <c r="M129" s="121">
        <v>126</v>
      </c>
    </row>
    <row r="130" customHeight="1" spans="1:13">
      <c r="A130" s="121">
        <v>127</v>
      </c>
      <c r="B130" s="122">
        <v>45540</v>
      </c>
      <c r="C130" s="123" t="s">
        <v>31</v>
      </c>
      <c r="D130" s="123">
        <v>3</v>
      </c>
      <c r="E130" s="124" t="s">
        <v>772</v>
      </c>
      <c r="F130" s="127" t="s">
        <v>860</v>
      </c>
      <c r="G130" s="123">
        <v>18</v>
      </c>
      <c r="H130" s="126"/>
      <c r="I130" s="126"/>
      <c r="J130" s="126"/>
      <c r="K130" s="126"/>
      <c r="L130" s="126"/>
      <c r="M130" s="121">
        <v>127</v>
      </c>
    </row>
    <row r="131" customHeight="1" spans="1:13">
      <c r="A131" s="121">
        <v>128</v>
      </c>
      <c r="B131" s="122">
        <v>45540</v>
      </c>
      <c r="C131" s="123" t="s">
        <v>31</v>
      </c>
      <c r="D131" s="123">
        <v>3</v>
      </c>
      <c r="E131" s="124" t="s">
        <v>444</v>
      </c>
      <c r="F131" s="125" t="s">
        <v>904</v>
      </c>
      <c r="G131" s="123">
        <v>94</v>
      </c>
      <c r="H131" s="126"/>
      <c r="I131" s="126"/>
      <c r="J131" s="126"/>
      <c r="K131" s="126"/>
      <c r="L131" s="126"/>
      <c r="M131" s="121">
        <v>128</v>
      </c>
    </row>
    <row r="132" customHeight="1" spans="1:13">
      <c r="A132" s="121">
        <v>129</v>
      </c>
      <c r="B132" s="122">
        <v>45540</v>
      </c>
      <c r="C132" s="123" t="s">
        <v>31</v>
      </c>
      <c r="D132" s="123">
        <v>3</v>
      </c>
      <c r="E132" s="124" t="s">
        <v>448</v>
      </c>
      <c r="F132" s="127" t="s">
        <v>905</v>
      </c>
      <c r="G132" s="123">
        <v>119</v>
      </c>
      <c r="H132" s="126"/>
      <c r="I132" s="126"/>
      <c r="J132" s="126"/>
      <c r="K132" s="126"/>
      <c r="L132" s="126"/>
      <c r="M132" s="121">
        <v>129</v>
      </c>
    </row>
    <row r="133" customHeight="1" spans="1:13">
      <c r="A133" s="121">
        <v>130</v>
      </c>
      <c r="B133" s="122">
        <v>45540</v>
      </c>
      <c r="C133" s="123" t="s">
        <v>31</v>
      </c>
      <c r="D133" s="123">
        <v>3</v>
      </c>
      <c r="E133" s="124" t="s">
        <v>451</v>
      </c>
      <c r="F133" s="127" t="s">
        <v>906</v>
      </c>
      <c r="G133" s="123">
        <v>91</v>
      </c>
      <c r="H133" s="126"/>
      <c r="I133" s="126"/>
      <c r="J133" s="126"/>
      <c r="K133" s="126"/>
      <c r="L133" s="126"/>
      <c r="M133" s="121">
        <v>130</v>
      </c>
    </row>
    <row r="134" customHeight="1" spans="1:13">
      <c r="A134" s="121">
        <v>131</v>
      </c>
      <c r="B134" s="122">
        <v>45540</v>
      </c>
      <c r="C134" s="123" t="s">
        <v>31</v>
      </c>
      <c r="D134" s="123">
        <v>3</v>
      </c>
      <c r="E134" s="124" t="s">
        <v>455</v>
      </c>
      <c r="F134" s="125" t="s">
        <v>907</v>
      </c>
      <c r="G134" s="123">
        <v>280</v>
      </c>
      <c r="H134" s="126"/>
      <c r="I134" s="126"/>
      <c r="J134" s="126"/>
      <c r="K134" s="126"/>
      <c r="L134" s="126"/>
      <c r="M134" s="121">
        <v>131</v>
      </c>
    </row>
    <row r="135" customHeight="1" spans="1:13">
      <c r="A135" s="121">
        <v>132</v>
      </c>
      <c r="B135" s="122">
        <v>45540</v>
      </c>
      <c r="C135" s="123" t="s">
        <v>31</v>
      </c>
      <c r="D135" s="123">
        <v>3</v>
      </c>
      <c r="E135" s="124" t="s">
        <v>773</v>
      </c>
      <c r="F135" s="127" t="s">
        <v>908</v>
      </c>
      <c r="G135" s="123">
        <v>51</v>
      </c>
      <c r="H135" s="126"/>
      <c r="I135" s="126"/>
      <c r="J135" s="126"/>
      <c r="K135" s="126"/>
      <c r="L135" s="126"/>
      <c r="M135" s="121">
        <v>132</v>
      </c>
    </row>
    <row r="136" customHeight="1" spans="1:13">
      <c r="A136" s="121">
        <v>133</v>
      </c>
      <c r="B136" s="122">
        <v>45540</v>
      </c>
      <c r="C136" s="123" t="s">
        <v>31</v>
      </c>
      <c r="D136" s="123">
        <v>3</v>
      </c>
      <c r="E136" s="124" t="s">
        <v>774</v>
      </c>
      <c r="F136" s="125" t="s">
        <v>889</v>
      </c>
      <c r="G136" s="123">
        <v>55</v>
      </c>
      <c r="H136" s="126"/>
      <c r="I136" s="126"/>
      <c r="J136" s="126"/>
      <c r="K136" s="126"/>
      <c r="L136" s="126"/>
      <c r="M136" s="121">
        <v>133</v>
      </c>
    </row>
    <row r="137" customHeight="1" spans="1:13">
      <c r="A137" s="121">
        <v>134</v>
      </c>
      <c r="B137" s="122">
        <v>45540</v>
      </c>
      <c r="C137" s="123" t="s">
        <v>31</v>
      </c>
      <c r="D137" s="123">
        <v>3</v>
      </c>
      <c r="E137" s="124" t="s">
        <v>775</v>
      </c>
      <c r="F137" s="125" t="s">
        <v>874</v>
      </c>
      <c r="G137" s="123">
        <v>53</v>
      </c>
      <c r="H137" s="126"/>
      <c r="I137" s="126"/>
      <c r="J137" s="126"/>
      <c r="K137" s="126"/>
      <c r="L137" s="126"/>
      <c r="M137" s="121">
        <v>134</v>
      </c>
    </row>
    <row r="138" customHeight="1" spans="1:13">
      <c r="A138" s="121">
        <v>135</v>
      </c>
      <c r="B138" s="122">
        <v>45540</v>
      </c>
      <c r="C138" s="123" t="s">
        <v>80</v>
      </c>
      <c r="D138" s="123">
        <v>2</v>
      </c>
      <c r="E138" s="124" t="s">
        <v>776</v>
      </c>
      <c r="F138" s="125" t="s">
        <v>897</v>
      </c>
      <c r="G138" s="123">
        <v>55</v>
      </c>
      <c r="H138" s="126"/>
      <c r="I138" s="126"/>
      <c r="J138" s="126"/>
      <c r="K138" s="126"/>
      <c r="L138" s="126"/>
      <c r="M138" s="121">
        <v>135</v>
      </c>
    </row>
    <row r="139" customHeight="1" spans="1:13">
      <c r="A139" s="121">
        <v>136</v>
      </c>
      <c r="B139" s="122">
        <v>45540</v>
      </c>
      <c r="C139" s="123" t="s">
        <v>80</v>
      </c>
      <c r="D139" s="123">
        <v>2</v>
      </c>
      <c r="E139" s="124" t="s">
        <v>470</v>
      </c>
      <c r="F139" s="125" t="s">
        <v>904</v>
      </c>
      <c r="G139" s="123">
        <v>5</v>
      </c>
      <c r="H139" s="126"/>
      <c r="I139" s="126"/>
      <c r="J139" s="126"/>
      <c r="K139" s="126"/>
      <c r="L139" s="126"/>
      <c r="M139" s="121">
        <v>136</v>
      </c>
    </row>
    <row r="140" customHeight="1" spans="1:13">
      <c r="A140" s="121">
        <v>137</v>
      </c>
      <c r="B140" s="122">
        <v>45540</v>
      </c>
      <c r="C140" s="123" t="s">
        <v>80</v>
      </c>
      <c r="D140" s="123">
        <v>2</v>
      </c>
      <c r="E140" s="124" t="s">
        <v>777</v>
      </c>
      <c r="F140" s="125" t="s">
        <v>858</v>
      </c>
      <c r="G140" s="123">
        <v>67</v>
      </c>
      <c r="H140" s="126"/>
      <c r="I140" s="126"/>
      <c r="J140" s="126"/>
      <c r="K140" s="126"/>
      <c r="L140" s="126"/>
      <c r="M140" s="121">
        <v>137</v>
      </c>
    </row>
    <row r="141" customHeight="1" spans="1:13">
      <c r="A141" s="121">
        <v>138</v>
      </c>
      <c r="B141" s="122">
        <v>45540</v>
      </c>
      <c r="C141" s="123" t="s">
        <v>87</v>
      </c>
      <c r="D141" s="123">
        <v>3</v>
      </c>
      <c r="E141" s="124" t="s">
        <v>778</v>
      </c>
      <c r="F141" s="125" t="s">
        <v>909</v>
      </c>
      <c r="G141" s="123">
        <v>6</v>
      </c>
      <c r="H141" s="126"/>
      <c r="I141" s="126"/>
      <c r="J141" s="126"/>
      <c r="K141" s="126"/>
      <c r="L141" s="126"/>
      <c r="M141" s="121">
        <v>138</v>
      </c>
    </row>
    <row r="142" customHeight="1" spans="1:13">
      <c r="A142" s="121">
        <v>139</v>
      </c>
      <c r="B142" s="122">
        <v>45540</v>
      </c>
      <c r="C142" s="123" t="s">
        <v>87</v>
      </c>
      <c r="D142" s="123">
        <v>3</v>
      </c>
      <c r="E142" s="124" t="s">
        <v>479</v>
      </c>
      <c r="F142" s="125" t="s">
        <v>880</v>
      </c>
      <c r="G142" s="123">
        <v>101</v>
      </c>
      <c r="H142" s="126"/>
      <c r="I142" s="126"/>
      <c r="J142" s="126"/>
      <c r="K142" s="126"/>
      <c r="L142" s="126"/>
      <c r="M142" s="121">
        <v>139</v>
      </c>
    </row>
    <row r="143" customHeight="1" spans="1:13">
      <c r="A143" s="121">
        <v>140</v>
      </c>
      <c r="B143" s="122">
        <v>45540</v>
      </c>
      <c r="C143" s="123" t="s">
        <v>87</v>
      </c>
      <c r="D143" s="123">
        <v>3</v>
      </c>
      <c r="E143" s="124" t="s">
        <v>481</v>
      </c>
      <c r="F143" s="125" t="s">
        <v>910</v>
      </c>
      <c r="G143" s="123">
        <v>29</v>
      </c>
      <c r="H143" s="126"/>
      <c r="I143" s="126"/>
      <c r="J143" s="126"/>
      <c r="K143" s="126"/>
      <c r="L143" s="126"/>
      <c r="M143" s="121">
        <v>140</v>
      </c>
    </row>
    <row r="144" customHeight="1" spans="1:13">
      <c r="A144" s="121">
        <v>141</v>
      </c>
      <c r="B144" s="122">
        <v>45540</v>
      </c>
      <c r="C144" s="123" t="s">
        <v>87</v>
      </c>
      <c r="D144" s="123">
        <v>3</v>
      </c>
      <c r="E144" s="124" t="s">
        <v>779</v>
      </c>
      <c r="F144" s="125" t="s">
        <v>898</v>
      </c>
      <c r="G144" s="123">
        <v>7</v>
      </c>
      <c r="H144" s="126"/>
      <c r="I144" s="126"/>
      <c r="J144" s="126"/>
      <c r="K144" s="126"/>
      <c r="L144" s="126"/>
      <c r="M144" s="121">
        <v>141</v>
      </c>
    </row>
    <row r="145" customHeight="1" spans="1:13">
      <c r="A145" s="121">
        <v>142</v>
      </c>
      <c r="B145" s="122">
        <v>45540</v>
      </c>
      <c r="C145" s="123" t="s">
        <v>87</v>
      </c>
      <c r="D145" s="123">
        <v>3</v>
      </c>
      <c r="E145" s="124" t="s">
        <v>486</v>
      </c>
      <c r="F145" s="125" t="s">
        <v>903</v>
      </c>
      <c r="G145" s="123">
        <v>25</v>
      </c>
      <c r="H145" s="126"/>
      <c r="I145" s="126"/>
      <c r="J145" s="126"/>
      <c r="K145" s="126"/>
      <c r="L145" s="126"/>
      <c r="M145" s="121">
        <v>142</v>
      </c>
    </row>
    <row r="146" customHeight="1" spans="1:13">
      <c r="A146" s="121">
        <v>143</v>
      </c>
      <c r="B146" s="122">
        <v>45540</v>
      </c>
      <c r="C146" s="123" t="s">
        <v>87</v>
      </c>
      <c r="D146" s="123">
        <v>3</v>
      </c>
      <c r="E146" s="124" t="s">
        <v>489</v>
      </c>
      <c r="F146" s="125" t="s">
        <v>880</v>
      </c>
      <c r="G146" s="123">
        <v>164</v>
      </c>
      <c r="H146" s="126"/>
      <c r="I146" s="126"/>
      <c r="J146" s="126"/>
      <c r="K146" s="126"/>
      <c r="L146" s="126"/>
      <c r="M146" s="121">
        <v>143</v>
      </c>
    </row>
    <row r="147" customHeight="1" spans="1:13">
      <c r="A147" s="121">
        <v>144</v>
      </c>
      <c r="B147" s="122">
        <v>45540</v>
      </c>
      <c r="C147" s="123" t="s">
        <v>87</v>
      </c>
      <c r="D147" s="123">
        <v>3</v>
      </c>
      <c r="E147" s="124" t="s">
        <v>492</v>
      </c>
      <c r="F147" s="125" t="s">
        <v>911</v>
      </c>
      <c r="G147" s="123">
        <v>87</v>
      </c>
      <c r="H147" s="126"/>
      <c r="I147" s="126"/>
      <c r="J147" s="126"/>
      <c r="K147" s="126"/>
      <c r="L147" s="126"/>
      <c r="M147" s="121">
        <v>144</v>
      </c>
    </row>
    <row r="148" customHeight="1" spans="1:13">
      <c r="A148" s="121">
        <v>145</v>
      </c>
      <c r="B148" s="122">
        <v>45540</v>
      </c>
      <c r="C148" s="123" t="s">
        <v>87</v>
      </c>
      <c r="D148" s="123">
        <v>3</v>
      </c>
      <c r="E148" s="124" t="s">
        <v>780</v>
      </c>
      <c r="F148" s="127" t="s">
        <v>912</v>
      </c>
      <c r="G148" s="123">
        <v>165</v>
      </c>
      <c r="H148" s="126"/>
      <c r="I148" s="126"/>
      <c r="J148" s="126"/>
      <c r="K148" s="126"/>
      <c r="L148" s="126"/>
      <c r="M148" s="121">
        <v>145</v>
      </c>
    </row>
    <row r="149" customHeight="1" spans="1:13">
      <c r="A149" s="121">
        <v>146</v>
      </c>
      <c r="B149" s="122">
        <v>45540</v>
      </c>
      <c r="C149" s="123" t="s">
        <v>312</v>
      </c>
      <c r="D149" s="123">
        <v>4</v>
      </c>
      <c r="E149" s="124" t="s">
        <v>781</v>
      </c>
      <c r="F149" s="127" t="s">
        <v>913</v>
      </c>
      <c r="G149" s="123">
        <v>21</v>
      </c>
      <c r="H149" s="126"/>
      <c r="I149" s="126"/>
      <c r="J149" s="126"/>
      <c r="K149" s="126"/>
      <c r="L149" s="126"/>
      <c r="M149" s="121">
        <v>146</v>
      </c>
    </row>
    <row r="150" customHeight="1" spans="1:13">
      <c r="A150" s="121">
        <v>147</v>
      </c>
      <c r="B150" s="122">
        <v>45540</v>
      </c>
      <c r="C150" s="123" t="s">
        <v>312</v>
      </c>
      <c r="D150" s="123">
        <v>4</v>
      </c>
      <c r="E150" s="124" t="s">
        <v>782</v>
      </c>
      <c r="F150" s="125" t="s">
        <v>889</v>
      </c>
      <c r="G150" s="123">
        <v>55</v>
      </c>
      <c r="H150" s="126"/>
      <c r="I150" s="126"/>
      <c r="J150" s="126"/>
      <c r="K150" s="126"/>
      <c r="L150" s="126"/>
      <c r="M150" s="121">
        <v>147</v>
      </c>
    </row>
    <row r="151" customHeight="1" spans="1:13">
      <c r="A151" s="121">
        <v>148</v>
      </c>
      <c r="B151" s="122">
        <v>45541</v>
      </c>
      <c r="C151" s="123" t="s">
        <v>11</v>
      </c>
      <c r="D151" s="123">
        <v>2</v>
      </c>
      <c r="E151" s="124" t="s">
        <v>502</v>
      </c>
      <c r="F151" s="125" t="s">
        <v>914</v>
      </c>
      <c r="G151" s="123">
        <v>27</v>
      </c>
      <c r="H151" s="126"/>
      <c r="I151" s="126"/>
      <c r="J151" s="126"/>
      <c r="K151" s="126"/>
      <c r="L151" s="126"/>
      <c r="M151" s="121">
        <v>148</v>
      </c>
    </row>
    <row r="152" customHeight="1" spans="1:13">
      <c r="A152" s="121">
        <v>149</v>
      </c>
      <c r="B152" s="122">
        <v>45541</v>
      </c>
      <c r="C152" s="123" t="s">
        <v>11</v>
      </c>
      <c r="D152" s="123">
        <v>2</v>
      </c>
      <c r="E152" s="124" t="s">
        <v>725</v>
      </c>
      <c r="F152" s="125" t="s">
        <v>868</v>
      </c>
      <c r="G152" s="123">
        <v>113</v>
      </c>
      <c r="H152" s="126"/>
      <c r="I152" s="126"/>
      <c r="J152" s="126"/>
      <c r="K152" s="126"/>
      <c r="L152" s="126"/>
      <c r="M152" s="121">
        <v>149</v>
      </c>
    </row>
    <row r="153" customHeight="1" spans="1:13">
      <c r="A153" s="121">
        <v>150</v>
      </c>
      <c r="B153" s="122">
        <v>45541</v>
      </c>
      <c r="C153" s="123" t="s">
        <v>31</v>
      </c>
      <c r="D153" s="123">
        <v>3</v>
      </c>
      <c r="E153" s="124" t="s">
        <v>508</v>
      </c>
      <c r="F153" s="127" t="s">
        <v>915</v>
      </c>
      <c r="G153" s="123">
        <v>82</v>
      </c>
      <c r="H153" s="126"/>
      <c r="I153" s="126"/>
      <c r="J153" s="126"/>
      <c r="K153" s="126"/>
      <c r="L153" s="126"/>
      <c r="M153" s="121">
        <v>150</v>
      </c>
    </row>
    <row r="154" customHeight="1" spans="1:13">
      <c r="A154" s="121">
        <v>151</v>
      </c>
      <c r="B154" s="122">
        <v>45541</v>
      </c>
      <c r="C154" s="123" t="s">
        <v>31</v>
      </c>
      <c r="D154" s="123">
        <v>3</v>
      </c>
      <c r="E154" s="124" t="s">
        <v>783</v>
      </c>
      <c r="F154" s="125" t="s">
        <v>916</v>
      </c>
      <c r="G154" s="123">
        <v>89</v>
      </c>
      <c r="H154" s="126"/>
      <c r="I154" s="126"/>
      <c r="J154" s="126"/>
      <c r="K154" s="126"/>
      <c r="L154" s="126"/>
      <c r="M154" s="121">
        <v>151</v>
      </c>
    </row>
    <row r="155" customHeight="1" spans="1:13">
      <c r="A155" s="121">
        <v>152</v>
      </c>
      <c r="B155" s="122">
        <v>45541</v>
      </c>
      <c r="C155" s="123" t="s">
        <v>31</v>
      </c>
      <c r="D155" s="123">
        <v>3</v>
      </c>
      <c r="E155" s="124" t="s">
        <v>516</v>
      </c>
      <c r="F155" s="125" t="s">
        <v>904</v>
      </c>
      <c r="G155" s="123">
        <v>684</v>
      </c>
      <c r="H155" s="126"/>
      <c r="I155" s="126"/>
      <c r="J155" s="126"/>
      <c r="K155" s="126"/>
      <c r="L155" s="126"/>
      <c r="M155" s="121">
        <v>152</v>
      </c>
    </row>
    <row r="156" customHeight="1" spans="1:13">
      <c r="A156" s="121">
        <v>153</v>
      </c>
      <c r="B156" s="122">
        <v>45541</v>
      </c>
      <c r="C156" s="123" t="s">
        <v>31</v>
      </c>
      <c r="D156" s="123">
        <v>3</v>
      </c>
      <c r="E156" s="124" t="s">
        <v>519</v>
      </c>
      <c r="F156" s="127" t="s">
        <v>904</v>
      </c>
      <c r="G156" s="123">
        <v>187</v>
      </c>
      <c r="H156" s="126"/>
      <c r="I156" s="126"/>
      <c r="J156" s="126"/>
      <c r="K156" s="126"/>
      <c r="L156" s="126"/>
      <c r="M156" s="121">
        <v>153</v>
      </c>
    </row>
    <row r="157" customHeight="1" spans="1:13">
      <c r="A157" s="121">
        <v>154</v>
      </c>
      <c r="B157" s="122">
        <v>45541</v>
      </c>
      <c r="C157" s="123" t="s">
        <v>31</v>
      </c>
      <c r="D157" s="123">
        <v>3</v>
      </c>
      <c r="E157" s="124" t="s">
        <v>784</v>
      </c>
      <c r="F157" s="125" t="s">
        <v>841</v>
      </c>
      <c r="G157" s="123">
        <v>27</v>
      </c>
      <c r="H157" s="126"/>
      <c r="I157" s="126"/>
      <c r="J157" s="126"/>
      <c r="K157" s="126"/>
      <c r="L157" s="126"/>
      <c r="M157" s="121">
        <v>154</v>
      </c>
    </row>
    <row r="158" customHeight="1" spans="1:13">
      <c r="A158" s="121">
        <v>155</v>
      </c>
      <c r="B158" s="122">
        <v>45541</v>
      </c>
      <c r="C158" s="123" t="s">
        <v>31</v>
      </c>
      <c r="D158" s="123">
        <v>3</v>
      </c>
      <c r="E158" s="124" t="s">
        <v>525</v>
      </c>
      <c r="F158" s="127" t="s">
        <v>828</v>
      </c>
      <c r="G158" s="123">
        <v>91</v>
      </c>
      <c r="H158" s="126"/>
      <c r="I158" s="126"/>
      <c r="J158" s="126"/>
      <c r="K158" s="126"/>
      <c r="L158" s="126"/>
      <c r="M158" s="121">
        <v>155</v>
      </c>
    </row>
    <row r="159" customHeight="1" spans="1:13">
      <c r="A159" s="121">
        <v>156</v>
      </c>
      <c r="B159" s="122">
        <v>45541</v>
      </c>
      <c r="C159" s="123" t="s">
        <v>31</v>
      </c>
      <c r="D159" s="123">
        <v>3</v>
      </c>
      <c r="E159" s="124" t="s">
        <v>528</v>
      </c>
      <c r="F159" s="127" t="s">
        <v>917</v>
      </c>
      <c r="G159" s="123">
        <v>173</v>
      </c>
      <c r="H159" s="126"/>
      <c r="I159" s="126"/>
      <c r="J159" s="126"/>
      <c r="K159" s="126"/>
      <c r="L159" s="126"/>
      <c r="M159" s="121">
        <v>156</v>
      </c>
    </row>
    <row r="160" customHeight="1" spans="1:13">
      <c r="A160" s="121">
        <v>157</v>
      </c>
      <c r="B160" s="122">
        <v>45541</v>
      </c>
      <c r="C160" s="123" t="s">
        <v>31</v>
      </c>
      <c r="D160" s="123">
        <v>3</v>
      </c>
      <c r="E160" s="124" t="s">
        <v>532</v>
      </c>
      <c r="F160" s="127" t="s">
        <v>918</v>
      </c>
      <c r="G160" s="123">
        <v>101</v>
      </c>
      <c r="H160" s="126"/>
      <c r="I160" s="126"/>
      <c r="J160" s="126"/>
      <c r="K160" s="126"/>
      <c r="L160" s="126"/>
      <c r="M160" s="121">
        <v>157</v>
      </c>
    </row>
    <row r="161" customHeight="1" spans="1:13">
      <c r="A161" s="121">
        <v>158</v>
      </c>
      <c r="B161" s="122">
        <v>45541</v>
      </c>
      <c r="C161" s="123" t="s">
        <v>31</v>
      </c>
      <c r="D161" s="123">
        <v>3</v>
      </c>
      <c r="E161" s="124" t="s">
        <v>785</v>
      </c>
      <c r="F161" s="127" t="s">
        <v>842</v>
      </c>
      <c r="G161" s="123">
        <v>13</v>
      </c>
      <c r="H161" s="126"/>
      <c r="I161" s="126"/>
      <c r="J161" s="126"/>
      <c r="K161" s="126"/>
      <c r="L161" s="126"/>
      <c r="M161" s="121">
        <v>158</v>
      </c>
    </row>
    <row r="162" customHeight="1" spans="1:13">
      <c r="A162" s="121">
        <v>159</v>
      </c>
      <c r="B162" s="122">
        <v>45541</v>
      </c>
      <c r="C162" s="123" t="s">
        <v>31</v>
      </c>
      <c r="D162" s="123">
        <v>3</v>
      </c>
      <c r="E162" s="124" t="s">
        <v>786</v>
      </c>
      <c r="F162" s="125" t="s">
        <v>919</v>
      </c>
      <c r="G162" s="123">
        <v>12</v>
      </c>
      <c r="H162" s="126"/>
      <c r="I162" s="126"/>
      <c r="J162" s="126"/>
      <c r="K162" s="126"/>
      <c r="L162" s="126"/>
      <c r="M162" s="121">
        <v>159</v>
      </c>
    </row>
    <row r="163" customHeight="1" spans="1:13">
      <c r="A163" s="121">
        <v>160</v>
      </c>
      <c r="B163" s="122">
        <v>45541</v>
      </c>
      <c r="C163" s="123" t="s">
        <v>31</v>
      </c>
      <c r="D163" s="123">
        <v>3</v>
      </c>
      <c r="E163" s="124" t="s">
        <v>787</v>
      </c>
      <c r="F163" s="125" t="s">
        <v>918</v>
      </c>
      <c r="G163" s="123">
        <v>4</v>
      </c>
      <c r="H163" s="126"/>
      <c r="I163" s="126"/>
      <c r="J163" s="126"/>
      <c r="K163" s="126"/>
      <c r="L163" s="126"/>
      <c r="M163" s="121">
        <v>160</v>
      </c>
    </row>
    <row r="164" customHeight="1" spans="1:13">
      <c r="A164" s="121">
        <v>161</v>
      </c>
      <c r="B164" s="122">
        <v>45541</v>
      </c>
      <c r="C164" s="123" t="s">
        <v>31</v>
      </c>
      <c r="D164" s="123">
        <v>3</v>
      </c>
      <c r="E164" s="124" t="s">
        <v>542</v>
      </c>
      <c r="F164" s="125" t="s">
        <v>852</v>
      </c>
      <c r="G164" s="123">
        <v>50</v>
      </c>
      <c r="H164" s="126"/>
      <c r="I164" s="126"/>
      <c r="J164" s="126"/>
      <c r="K164" s="126"/>
      <c r="L164" s="126"/>
      <c r="M164" s="121">
        <v>161</v>
      </c>
    </row>
    <row r="165" customHeight="1" spans="1:13">
      <c r="A165" s="121">
        <v>162</v>
      </c>
      <c r="B165" s="122">
        <v>45541</v>
      </c>
      <c r="C165" s="123" t="s">
        <v>31</v>
      </c>
      <c r="D165" s="123">
        <v>3</v>
      </c>
      <c r="E165" s="124" t="s">
        <v>543</v>
      </c>
      <c r="F165" s="127" t="s">
        <v>872</v>
      </c>
      <c r="G165" s="123">
        <v>65</v>
      </c>
      <c r="H165" s="126"/>
      <c r="I165" s="126"/>
      <c r="J165" s="126"/>
      <c r="K165" s="126"/>
      <c r="L165" s="126"/>
      <c r="M165" s="121">
        <v>162</v>
      </c>
    </row>
    <row r="166" customHeight="1" spans="1:13">
      <c r="A166" s="121">
        <v>163</v>
      </c>
      <c r="B166" s="122">
        <v>45541</v>
      </c>
      <c r="C166" s="123" t="s">
        <v>31</v>
      </c>
      <c r="D166" s="123">
        <v>3</v>
      </c>
      <c r="E166" s="124" t="s">
        <v>788</v>
      </c>
      <c r="F166" s="125" t="s">
        <v>900</v>
      </c>
      <c r="G166" s="123">
        <v>7</v>
      </c>
      <c r="H166" s="126"/>
      <c r="I166" s="126"/>
      <c r="J166" s="126"/>
      <c r="K166" s="126"/>
      <c r="L166" s="126"/>
      <c r="M166" s="121">
        <v>163</v>
      </c>
    </row>
    <row r="167" customHeight="1" spans="1:13">
      <c r="A167" s="121">
        <v>164</v>
      </c>
      <c r="B167" s="122">
        <v>45541</v>
      </c>
      <c r="C167" s="123" t="s">
        <v>31</v>
      </c>
      <c r="D167" s="123">
        <v>3</v>
      </c>
      <c r="E167" s="124" t="s">
        <v>549</v>
      </c>
      <c r="F167" s="125" t="s">
        <v>837</v>
      </c>
      <c r="G167" s="123">
        <v>144</v>
      </c>
      <c r="H167" s="126"/>
      <c r="I167" s="126"/>
      <c r="J167" s="126"/>
      <c r="K167" s="126"/>
      <c r="L167" s="126"/>
      <c r="M167" s="121">
        <v>164</v>
      </c>
    </row>
    <row r="168" customHeight="1" spans="1:13">
      <c r="A168" s="121">
        <v>165</v>
      </c>
      <c r="B168" s="122">
        <v>45541</v>
      </c>
      <c r="C168" s="123" t="s">
        <v>80</v>
      </c>
      <c r="D168" s="123">
        <v>2</v>
      </c>
      <c r="E168" s="124" t="s">
        <v>543</v>
      </c>
      <c r="F168" s="127" t="s">
        <v>872</v>
      </c>
      <c r="G168" s="123">
        <v>65</v>
      </c>
      <c r="H168" s="126"/>
      <c r="I168" s="126"/>
      <c r="J168" s="126"/>
      <c r="K168" s="126"/>
      <c r="L168" s="126"/>
      <c r="M168" s="121">
        <v>165</v>
      </c>
    </row>
    <row r="169" customHeight="1" spans="1:13">
      <c r="A169" s="121">
        <v>166</v>
      </c>
      <c r="B169" s="122">
        <v>45541</v>
      </c>
      <c r="C169" s="123" t="s">
        <v>87</v>
      </c>
      <c r="D169" s="123">
        <v>3</v>
      </c>
      <c r="E169" s="124" t="s">
        <v>552</v>
      </c>
      <c r="F169" s="127" t="s">
        <v>841</v>
      </c>
      <c r="G169" s="123">
        <v>51</v>
      </c>
      <c r="H169" s="126"/>
      <c r="I169" s="126"/>
      <c r="J169" s="126"/>
      <c r="K169" s="126"/>
      <c r="L169" s="126"/>
      <c r="M169" s="121">
        <v>166</v>
      </c>
    </row>
    <row r="170" customHeight="1" spans="1:13">
      <c r="A170" s="121">
        <v>167</v>
      </c>
      <c r="B170" s="122">
        <v>45541</v>
      </c>
      <c r="C170" s="123" t="s">
        <v>87</v>
      </c>
      <c r="D170" s="123">
        <v>3</v>
      </c>
      <c r="E170" s="124" t="s">
        <v>789</v>
      </c>
      <c r="F170" s="127" t="s">
        <v>920</v>
      </c>
      <c r="G170" s="123">
        <v>6</v>
      </c>
      <c r="H170" s="126"/>
      <c r="I170" s="126"/>
      <c r="J170" s="126"/>
      <c r="K170" s="126"/>
      <c r="L170" s="126"/>
      <c r="M170" s="121">
        <v>167</v>
      </c>
    </row>
    <row r="171" customHeight="1" spans="1:13">
      <c r="A171" s="121">
        <v>168</v>
      </c>
      <c r="B171" s="122">
        <v>45541</v>
      </c>
      <c r="C171" s="123" t="s">
        <v>87</v>
      </c>
      <c r="D171" s="123">
        <v>3</v>
      </c>
      <c r="E171" s="124" t="s">
        <v>556</v>
      </c>
      <c r="F171" s="127" t="s">
        <v>879</v>
      </c>
      <c r="G171" s="123">
        <v>44</v>
      </c>
      <c r="H171" s="126"/>
      <c r="I171" s="126"/>
      <c r="J171" s="126"/>
      <c r="K171" s="126"/>
      <c r="L171" s="126"/>
      <c r="M171" s="121">
        <v>168</v>
      </c>
    </row>
    <row r="172" customHeight="1" spans="1:13">
      <c r="A172" s="121">
        <v>169</v>
      </c>
      <c r="B172" s="122">
        <v>45541</v>
      </c>
      <c r="C172" s="123" t="s">
        <v>87</v>
      </c>
      <c r="D172" s="123">
        <v>3</v>
      </c>
      <c r="E172" s="124" t="s">
        <v>558</v>
      </c>
      <c r="F172" s="127" t="s">
        <v>921</v>
      </c>
      <c r="G172" s="123">
        <v>149</v>
      </c>
      <c r="H172" s="126"/>
      <c r="I172" s="126"/>
      <c r="J172" s="126"/>
      <c r="K172" s="126"/>
      <c r="L172" s="126"/>
      <c r="M172" s="121">
        <v>169</v>
      </c>
    </row>
    <row r="173" customHeight="1" spans="1:13">
      <c r="A173" s="121">
        <v>170</v>
      </c>
      <c r="B173" s="122">
        <v>45541</v>
      </c>
      <c r="C173" s="123" t="s">
        <v>87</v>
      </c>
      <c r="D173" s="123">
        <v>3</v>
      </c>
      <c r="E173" s="124" t="s">
        <v>562</v>
      </c>
      <c r="F173" s="127" t="s">
        <v>858</v>
      </c>
      <c r="G173" s="123">
        <v>45</v>
      </c>
      <c r="H173" s="126"/>
      <c r="I173" s="126"/>
      <c r="J173" s="126"/>
      <c r="K173" s="126"/>
      <c r="L173" s="126"/>
      <c r="M173" s="121">
        <v>170</v>
      </c>
    </row>
    <row r="174" customHeight="1" spans="1:13">
      <c r="A174" s="121">
        <v>171</v>
      </c>
      <c r="B174" s="122">
        <v>45541</v>
      </c>
      <c r="C174" s="123" t="s">
        <v>87</v>
      </c>
      <c r="D174" s="123">
        <v>3</v>
      </c>
      <c r="E174" s="124" t="s">
        <v>564</v>
      </c>
      <c r="F174" s="125" t="s">
        <v>902</v>
      </c>
      <c r="G174" s="123">
        <v>43</v>
      </c>
      <c r="H174" s="126"/>
      <c r="I174" s="126"/>
      <c r="J174" s="126"/>
      <c r="K174" s="126"/>
      <c r="L174" s="126"/>
      <c r="M174" s="121">
        <v>171</v>
      </c>
    </row>
    <row r="175" customHeight="1" spans="1:13">
      <c r="A175" s="121">
        <v>172</v>
      </c>
      <c r="B175" s="122">
        <v>45541</v>
      </c>
      <c r="C175" s="123" t="s">
        <v>87</v>
      </c>
      <c r="D175" s="123">
        <v>3</v>
      </c>
      <c r="E175" s="124" t="s">
        <v>790</v>
      </c>
      <c r="F175" s="125" t="s">
        <v>836</v>
      </c>
      <c r="G175" s="123">
        <v>50</v>
      </c>
      <c r="H175" s="126"/>
      <c r="I175" s="126"/>
      <c r="J175" s="126"/>
      <c r="K175" s="126"/>
      <c r="L175" s="126"/>
      <c r="M175" s="121">
        <v>172</v>
      </c>
    </row>
    <row r="176" customHeight="1" spans="1:13">
      <c r="A176" s="121">
        <v>173</v>
      </c>
      <c r="B176" s="122">
        <v>45541</v>
      </c>
      <c r="C176" s="123" t="s">
        <v>87</v>
      </c>
      <c r="D176" s="123">
        <v>3</v>
      </c>
      <c r="E176" s="124" t="s">
        <v>791</v>
      </c>
      <c r="F176" s="125" t="s">
        <v>856</v>
      </c>
      <c r="G176" s="123">
        <v>77</v>
      </c>
      <c r="H176" s="126"/>
      <c r="I176" s="126"/>
      <c r="J176" s="126"/>
      <c r="K176" s="126"/>
      <c r="L176" s="126"/>
      <c r="M176" s="121">
        <v>173</v>
      </c>
    </row>
    <row r="177" customHeight="1" spans="1:13">
      <c r="A177" s="121">
        <v>174</v>
      </c>
      <c r="B177" s="122">
        <v>45542</v>
      </c>
      <c r="C177" s="123" t="s">
        <v>11</v>
      </c>
      <c r="D177" s="123">
        <v>2</v>
      </c>
      <c r="E177" s="124" t="s">
        <v>570</v>
      </c>
      <c r="F177" s="125" t="s">
        <v>922</v>
      </c>
      <c r="G177" s="123">
        <v>693</v>
      </c>
      <c r="H177" s="126"/>
      <c r="I177" s="126"/>
      <c r="J177" s="126"/>
      <c r="K177" s="126"/>
      <c r="L177" s="126"/>
      <c r="M177" s="121">
        <v>174</v>
      </c>
    </row>
    <row r="178" customHeight="1" spans="1:13">
      <c r="A178" s="121">
        <v>175</v>
      </c>
      <c r="B178" s="122">
        <v>45542</v>
      </c>
      <c r="C178" s="123" t="s">
        <v>11</v>
      </c>
      <c r="D178" s="123">
        <v>2</v>
      </c>
      <c r="E178" s="124" t="s">
        <v>575</v>
      </c>
      <c r="F178" s="125" t="s">
        <v>922</v>
      </c>
      <c r="G178" s="123">
        <v>155</v>
      </c>
      <c r="H178" s="126"/>
      <c r="I178" s="126"/>
      <c r="J178" s="126"/>
      <c r="K178" s="126"/>
      <c r="L178" s="126"/>
      <c r="M178" s="121">
        <v>175</v>
      </c>
    </row>
    <row r="179" customHeight="1" spans="1:13">
      <c r="A179" s="121">
        <v>176</v>
      </c>
      <c r="B179" s="122">
        <v>45542</v>
      </c>
      <c r="C179" s="123" t="s">
        <v>11</v>
      </c>
      <c r="D179" s="123">
        <v>2</v>
      </c>
      <c r="E179" s="124" t="s">
        <v>579</v>
      </c>
      <c r="F179" s="125" t="s">
        <v>828</v>
      </c>
      <c r="G179" s="123">
        <v>92</v>
      </c>
      <c r="H179" s="126"/>
      <c r="I179" s="126"/>
      <c r="J179" s="126"/>
      <c r="K179" s="126"/>
      <c r="L179" s="126"/>
      <c r="M179" s="121">
        <v>176</v>
      </c>
    </row>
    <row r="180" customHeight="1" spans="1:13">
      <c r="A180" s="121">
        <v>177</v>
      </c>
      <c r="B180" s="122">
        <v>45542</v>
      </c>
      <c r="C180" s="123" t="s">
        <v>11</v>
      </c>
      <c r="D180" s="123">
        <v>2</v>
      </c>
      <c r="E180" s="124" t="s">
        <v>583</v>
      </c>
      <c r="F180" s="127" t="s">
        <v>839</v>
      </c>
      <c r="G180" s="123">
        <v>442</v>
      </c>
      <c r="H180" s="126"/>
      <c r="I180" s="126"/>
      <c r="J180" s="126"/>
      <c r="K180" s="126"/>
      <c r="L180" s="126"/>
      <c r="M180" s="121">
        <v>177</v>
      </c>
    </row>
    <row r="181" customHeight="1" spans="1:13">
      <c r="A181" s="121">
        <v>178</v>
      </c>
      <c r="B181" s="122">
        <v>45542</v>
      </c>
      <c r="C181" s="123" t="s">
        <v>31</v>
      </c>
      <c r="D181" s="123">
        <v>3</v>
      </c>
      <c r="E181" s="124" t="s">
        <v>587</v>
      </c>
      <c r="F181" s="127" t="s">
        <v>884</v>
      </c>
      <c r="G181" s="123">
        <v>58</v>
      </c>
      <c r="H181" s="126"/>
      <c r="I181" s="126"/>
      <c r="J181" s="126"/>
      <c r="K181" s="126"/>
      <c r="L181" s="126"/>
      <c r="M181" s="121">
        <v>178</v>
      </c>
    </row>
    <row r="182" customHeight="1" spans="1:13">
      <c r="A182" s="121">
        <v>179</v>
      </c>
      <c r="B182" s="122">
        <v>45542</v>
      </c>
      <c r="C182" s="123" t="s">
        <v>31</v>
      </c>
      <c r="D182" s="123">
        <v>3</v>
      </c>
      <c r="E182" s="124" t="s">
        <v>589</v>
      </c>
      <c r="F182" s="125" t="s">
        <v>923</v>
      </c>
      <c r="G182" s="123">
        <v>92</v>
      </c>
      <c r="H182" s="126"/>
      <c r="I182" s="126"/>
      <c r="J182" s="126"/>
      <c r="K182" s="126"/>
      <c r="L182" s="126"/>
      <c r="M182" s="121">
        <v>179</v>
      </c>
    </row>
    <row r="183" customHeight="1" spans="1:13">
      <c r="A183" s="121">
        <v>180</v>
      </c>
      <c r="B183" s="122">
        <v>45542</v>
      </c>
      <c r="C183" s="123" t="s">
        <v>31</v>
      </c>
      <c r="D183" s="123">
        <v>3</v>
      </c>
      <c r="E183" s="124" t="s">
        <v>593</v>
      </c>
      <c r="F183" s="125" t="s">
        <v>919</v>
      </c>
      <c r="G183" s="123">
        <v>49</v>
      </c>
      <c r="H183" s="126"/>
      <c r="I183" s="126"/>
      <c r="J183" s="126"/>
      <c r="K183" s="126"/>
      <c r="L183" s="126"/>
      <c r="M183" s="121">
        <v>180</v>
      </c>
    </row>
    <row r="184" customHeight="1" spans="1:13">
      <c r="A184" s="121">
        <v>181</v>
      </c>
      <c r="B184" s="122">
        <v>45542</v>
      </c>
      <c r="C184" s="123" t="s">
        <v>31</v>
      </c>
      <c r="D184" s="123">
        <v>3</v>
      </c>
      <c r="E184" s="124" t="s">
        <v>792</v>
      </c>
      <c r="F184" s="125" t="s">
        <v>924</v>
      </c>
      <c r="G184" s="123">
        <v>12</v>
      </c>
      <c r="H184" s="126"/>
      <c r="I184" s="126"/>
      <c r="J184" s="126"/>
      <c r="K184" s="126"/>
      <c r="L184" s="126"/>
      <c r="M184" s="121">
        <v>181</v>
      </c>
    </row>
    <row r="185" customHeight="1" spans="1:13">
      <c r="A185" s="121">
        <v>182</v>
      </c>
      <c r="B185" s="122">
        <v>45542</v>
      </c>
      <c r="C185" s="123" t="s">
        <v>31</v>
      </c>
      <c r="D185" s="123">
        <v>3</v>
      </c>
      <c r="E185" s="124" t="s">
        <v>793</v>
      </c>
      <c r="F185" s="127" t="s">
        <v>836</v>
      </c>
      <c r="G185" s="123">
        <v>80</v>
      </c>
      <c r="H185" s="126"/>
      <c r="I185" s="126"/>
      <c r="J185" s="126"/>
      <c r="K185" s="126"/>
      <c r="L185" s="126"/>
      <c r="M185" s="121">
        <v>182</v>
      </c>
    </row>
    <row r="186" customHeight="1" spans="1:13">
      <c r="A186" s="121">
        <v>183</v>
      </c>
      <c r="B186" s="122">
        <v>45542</v>
      </c>
      <c r="C186" s="123" t="s">
        <v>31</v>
      </c>
      <c r="D186" s="123">
        <v>3</v>
      </c>
      <c r="E186" s="124" t="s">
        <v>794</v>
      </c>
      <c r="F186" s="125" t="s">
        <v>925</v>
      </c>
      <c r="G186" s="123">
        <v>111</v>
      </c>
      <c r="H186" s="126"/>
      <c r="I186" s="126"/>
      <c r="J186" s="126"/>
      <c r="K186" s="126"/>
      <c r="L186" s="126"/>
      <c r="M186" s="121">
        <v>183</v>
      </c>
    </row>
    <row r="187" customHeight="1" spans="1:13">
      <c r="A187" s="121">
        <v>184</v>
      </c>
      <c r="B187" s="122">
        <v>45542</v>
      </c>
      <c r="C187" s="123" t="s">
        <v>80</v>
      </c>
      <c r="D187" s="123">
        <v>2</v>
      </c>
      <c r="E187" s="124" t="s">
        <v>606</v>
      </c>
      <c r="F187" s="127" t="s">
        <v>922</v>
      </c>
      <c r="G187" s="123">
        <v>163</v>
      </c>
      <c r="H187" s="126"/>
      <c r="I187" s="126"/>
      <c r="J187" s="126"/>
      <c r="K187" s="126"/>
      <c r="L187" s="126"/>
      <c r="M187" s="121">
        <v>184</v>
      </c>
    </row>
    <row r="188" customHeight="1" spans="1:13">
      <c r="A188" s="121">
        <v>185</v>
      </c>
      <c r="B188" s="122">
        <v>45542</v>
      </c>
      <c r="C188" s="123" t="s">
        <v>80</v>
      </c>
      <c r="D188" s="123">
        <v>2</v>
      </c>
      <c r="E188" s="124" t="s">
        <v>609</v>
      </c>
      <c r="F188" s="127" t="s">
        <v>842</v>
      </c>
      <c r="G188" s="123">
        <v>359</v>
      </c>
      <c r="H188" s="126"/>
      <c r="I188" s="126"/>
      <c r="J188" s="126"/>
      <c r="K188" s="126"/>
      <c r="L188" s="126"/>
      <c r="M188" s="121">
        <v>185</v>
      </c>
    </row>
    <row r="189" customHeight="1" spans="1:13">
      <c r="A189" s="121">
        <v>186</v>
      </c>
      <c r="B189" s="122">
        <v>45542</v>
      </c>
      <c r="C189" s="123" t="s">
        <v>87</v>
      </c>
      <c r="D189" s="123">
        <v>3</v>
      </c>
      <c r="E189" s="124" t="s">
        <v>612</v>
      </c>
      <c r="F189" s="127" t="s">
        <v>897</v>
      </c>
      <c r="G189" s="123">
        <v>49</v>
      </c>
      <c r="H189" s="126"/>
      <c r="I189" s="126"/>
      <c r="J189" s="126"/>
      <c r="K189" s="126"/>
      <c r="L189" s="126"/>
      <c r="M189" s="121">
        <v>186</v>
      </c>
    </row>
    <row r="190" customHeight="1" spans="1:13">
      <c r="A190" s="121">
        <v>187</v>
      </c>
      <c r="B190" s="122">
        <v>45542</v>
      </c>
      <c r="C190" s="123" t="s">
        <v>87</v>
      </c>
      <c r="D190" s="123">
        <v>3</v>
      </c>
      <c r="E190" s="124" t="s">
        <v>795</v>
      </c>
      <c r="F190" s="127" t="s">
        <v>926</v>
      </c>
      <c r="G190" s="123">
        <v>13</v>
      </c>
      <c r="H190" s="126"/>
      <c r="I190" s="126"/>
      <c r="J190" s="126"/>
      <c r="K190" s="126"/>
      <c r="L190" s="126"/>
      <c r="M190" s="121">
        <v>187</v>
      </c>
    </row>
    <row r="191" customHeight="1" spans="1:13">
      <c r="A191" s="121">
        <v>188</v>
      </c>
      <c r="B191" s="122">
        <v>45542</v>
      </c>
      <c r="C191" s="123" t="s">
        <v>87</v>
      </c>
      <c r="D191" s="123">
        <v>3</v>
      </c>
      <c r="E191" s="124" t="s">
        <v>617</v>
      </c>
      <c r="F191" s="125" t="s">
        <v>861</v>
      </c>
      <c r="G191" s="123">
        <v>45</v>
      </c>
      <c r="H191" s="126"/>
      <c r="I191" s="126"/>
      <c r="J191" s="126"/>
      <c r="K191" s="126"/>
      <c r="L191" s="126"/>
      <c r="M191" s="121">
        <v>188</v>
      </c>
    </row>
    <row r="192" customHeight="1" spans="1:13">
      <c r="A192" s="121">
        <v>189</v>
      </c>
      <c r="B192" s="122">
        <v>45542</v>
      </c>
      <c r="C192" s="123" t="s">
        <v>87</v>
      </c>
      <c r="D192" s="123">
        <v>3</v>
      </c>
      <c r="E192" s="124" t="s">
        <v>796</v>
      </c>
      <c r="F192" s="125" t="s">
        <v>854</v>
      </c>
      <c r="G192" s="123">
        <v>7</v>
      </c>
      <c r="H192" s="126"/>
      <c r="I192" s="126"/>
      <c r="J192" s="126"/>
      <c r="K192" s="126"/>
      <c r="L192" s="126"/>
      <c r="M192" s="121">
        <v>189</v>
      </c>
    </row>
    <row r="193" customHeight="1" spans="1:13">
      <c r="A193" s="121">
        <v>190</v>
      </c>
      <c r="B193" s="122">
        <v>45542</v>
      </c>
      <c r="C193" s="123" t="s">
        <v>87</v>
      </c>
      <c r="D193" s="123">
        <v>3</v>
      </c>
      <c r="E193" s="124" t="s">
        <v>621</v>
      </c>
      <c r="F193" s="125" t="s">
        <v>854</v>
      </c>
      <c r="G193" s="123">
        <v>22</v>
      </c>
      <c r="H193" s="126"/>
      <c r="I193" s="126"/>
      <c r="J193" s="126"/>
      <c r="K193" s="126"/>
      <c r="L193" s="126"/>
      <c r="M193" s="121">
        <v>190</v>
      </c>
    </row>
    <row r="194" customHeight="1" spans="1:13">
      <c r="A194" s="121">
        <v>191</v>
      </c>
      <c r="B194" s="122">
        <v>45542</v>
      </c>
      <c r="C194" s="123" t="s">
        <v>87</v>
      </c>
      <c r="D194" s="123">
        <v>3</v>
      </c>
      <c r="E194" s="124" t="s">
        <v>797</v>
      </c>
      <c r="F194" s="125" t="s">
        <v>925</v>
      </c>
      <c r="G194" s="123">
        <v>111</v>
      </c>
      <c r="H194" s="126"/>
      <c r="I194" s="126"/>
      <c r="J194" s="126"/>
      <c r="K194" s="126"/>
      <c r="L194" s="126"/>
      <c r="M194" s="121">
        <v>191</v>
      </c>
    </row>
    <row r="195" customHeight="1" spans="1:13">
      <c r="A195" s="121">
        <v>192</v>
      </c>
      <c r="B195" s="122">
        <v>45542</v>
      </c>
      <c r="C195" s="123" t="s">
        <v>87</v>
      </c>
      <c r="D195" s="123">
        <v>3</v>
      </c>
      <c r="E195" s="124" t="s">
        <v>798</v>
      </c>
      <c r="F195" s="127" t="s">
        <v>871</v>
      </c>
      <c r="G195" s="123">
        <v>85</v>
      </c>
      <c r="H195" s="126"/>
      <c r="I195" s="126"/>
      <c r="J195" s="126"/>
      <c r="K195" s="126"/>
      <c r="L195" s="126"/>
      <c r="M195" s="121">
        <v>192</v>
      </c>
    </row>
    <row r="196" customHeight="1" spans="1:13">
      <c r="A196" s="121">
        <v>193</v>
      </c>
      <c r="B196" s="122">
        <v>45542</v>
      </c>
      <c r="C196" s="123" t="s">
        <v>87</v>
      </c>
      <c r="D196" s="123">
        <v>3</v>
      </c>
      <c r="E196" s="124" t="s">
        <v>628</v>
      </c>
      <c r="F196" s="125" t="s">
        <v>927</v>
      </c>
      <c r="G196" s="123">
        <v>45</v>
      </c>
      <c r="H196" s="126"/>
      <c r="I196" s="126"/>
      <c r="J196" s="126"/>
      <c r="K196" s="126"/>
      <c r="L196" s="126"/>
      <c r="M196" s="121">
        <v>193</v>
      </c>
    </row>
    <row r="197" customHeight="1" spans="1:13">
      <c r="A197" s="121">
        <v>194</v>
      </c>
      <c r="B197" s="122">
        <v>45542</v>
      </c>
      <c r="C197" s="123" t="s">
        <v>87</v>
      </c>
      <c r="D197" s="123">
        <v>3</v>
      </c>
      <c r="E197" s="124" t="s">
        <v>928</v>
      </c>
      <c r="F197" s="125" t="s">
        <v>927</v>
      </c>
      <c r="G197" s="123">
        <v>5</v>
      </c>
      <c r="H197" s="126"/>
      <c r="I197" s="126"/>
      <c r="J197" s="126"/>
      <c r="K197" s="126"/>
      <c r="L197" s="126"/>
      <c r="M197" s="121">
        <v>194</v>
      </c>
    </row>
    <row r="198" customHeight="1" spans="1:13">
      <c r="A198" s="121">
        <v>195</v>
      </c>
      <c r="B198" s="122">
        <v>45542</v>
      </c>
      <c r="C198" s="123" t="s">
        <v>312</v>
      </c>
      <c r="D198" s="123">
        <v>4</v>
      </c>
      <c r="E198" s="124" t="s">
        <v>800</v>
      </c>
      <c r="F198" s="127" t="s">
        <v>836</v>
      </c>
      <c r="G198" s="123">
        <v>80</v>
      </c>
      <c r="H198" s="126"/>
      <c r="I198" s="126"/>
      <c r="J198" s="126"/>
      <c r="K198" s="126"/>
      <c r="L198" s="126"/>
      <c r="M198" s="121">
        <v>195</v>
      </c>
    </row>
    <row r="199" customHeight="1" spans="1:13">
      <c r="A199" s="121">
        <v>196</v>
      </c>
      <c r="B199" s="122">
        <v>45543</v>
      </c>
      <c r="C199" s="123" t="s">
        <v>11</v>
      </c>
      <c r="D199" s="123">
        <v>2</v>
      </c>
      <c r="E199" s="124" t="s">
        <v>632</v>
      </c>
      <c r="F199" s="127" t="s">
        <v>835</v>
      </c>
      <c r="G199" s="123">
        <v>29</v>
      </c>
      <c r="H199" s="126"/>
      <c r="I199" s="126"/>
      <c r="J199" s="126"/>
      <c r="K199" s="126"/>
      <c r="L199" s="126"/>
      <c r="M199" s="121">
        <v>196</v>
      </c>
    </row>
    <row r="200" customHeight="1" spans="1:13">
      <c r="A200" s="121">
        <v>197</v>
      </c>
      <c r="B200" s="122">
        <v>45543</v>
      </c>
      <c r="C200" s="123" t="s">
        <v>11</v>
      </c>
      <c r="D200" s="123">
        <v>2</v>
      </c>
      <c r="E200" s="124" t="s">
        <v>801</v>
      </c>
      <c r="F200" s="125" t="s">
        <v>828</v>
      </c>
      <c r="G200" s="123">
        <v>12</v>
      </c>
      <c r="H200" s="126"/>
      <c r="I200" s="126"/>
      <c r="J200" s="126"/>
      <c r="K200" s="126"/>
      <c r="L200" s="126"/>
      <c r="M200" s="121">
        <v>197</v>
      </c>
    </row>
    <row r="201" customHeight="1" spans="1:13">
      <c r="A201" s="121">
        <v>198</v>
      </c>
      <c r="B201" s="122">
        <v>45543</v>
      </c>
      <c r="C201" s="123" t="s">
        <v>11</v>
      </c>
      <c r="D201" s="123">
        <v>2</v>
      </c>
      <c r="E201" s="124" t="s">
        <v>802</v>
      </c>
      <c r="F201" s="125" t="s">
        <v>880</v>
      </c>
      <c r="G201" s="123">
        <v>88</v>
      </c>
      <c r="H201" s="126"/>
      <c r="I201" s="126"/>
      <c r="J201" s="126"/>
      <c r="K201" s="126"/>
      <c r="L201" s="126"/>
      <c r="M201" s="121">
        <v>198</v>
      </c>
    </row>
    <row r="202" customHeight="1" spans="1:13">
      <c r="A202" s="121">
        <v>199</v>
      </c>
      <c r="B202" s="122">
        <v>45543</v>
      </c>
      <c r="C202" s="123" t="s">
        <v>11</v>
      </c>
      <c r="D202" s="123">
        <v>2</v>
      </c>
      <c r="E202" s="124" t="s">
        <v>803</v>
      </c>
      <c r="F202" s="127" t="s">
        <v>868</v>
      </c>
      <c r="G202" s="123">
        <v>58</v>
      </c>
      <c r="H202" s="126"/>
      <c r="I202" s="126"/>
      <c r="J202" s="126"/>
      <c r="K202" s="126"/>
      <c r="L202" s="126"/>
      <c r="M202" s="121">
        <v>199</v>
      </c>
    </row>
    <row r="203" customHeight="1" spans="1:13">
      <c r="A203" s="121">
        <v>200</v>
      </c>
      <c r="B203" s="122">
        <v>45543</v>
      </c>
      <c r="C203" s="123" t="s">
        <v>11</v>
      </c>
      <c r="D203" s="123">
        <v>2</v>
      </c>
      <c r="E203" s="124" t="s">
        <v>642</v>
      </c>
      <c r="F203" s="127" t="s">
        <v>906</v>
      </c>
      <c r="G203" s="123">
        <v>113</v>
      </c>
      <c r="H203" s="126"/>
      <c r="I203" s="126"/>
      <c r="J203" s="126"/>
      <c r="K203" s="126"/>
      <c r="L203" s="126"/>
      <c r="M203" s="121">
        <v>200</v>
      </c>
    </row>
    <row r="204" customHeight="1" spans="1:13">
      <c r="A204" s="121">
        <v>201</v>
      </c>
      <c r="B204" s="122">
        <v>45543</v>
      </c>
      <c r="C204" s="123" t="s">
        <v>644</v>
      </c>
      <c r="D204" s="123">
        <v>1</v>
      </c>
      <c r="E204" s="124" t="s">
        <v>645</v>
      </c>
      <c r="F204" s="127" t="s">
        <v>906</v>
      </c>
      <c r="G204" s="123">
        <v>113</v>
      </c>
      <c r="H204" s="126"/>
      <c r="I204" s="126"/>
      <c r="J204" s="126"/>
      <c r="K204" s="126"/>
      <c r="L204" s="126"/>
      <c r="M204" s="121">
        <v>201</v>
      </c>
    </row>
    <row r="205" customHeight="1" spans="1:13">
      <c r="A205" s="121">
        <v>202</v>
      </c>
      <c r="B205" s="122">
        <v>45543</v>
      </c>
      <c r="C205" s="123" t="s">
        <v>31</v>
      </c>
      <c r="D205" s="123">
        <v>3</v>
      </c>
      <c r="E205" s="124" t="s">
        <v>804</v>
      </c>
      <c r="F205" s="125" t="s">
        <v>929</v>
      </c>
      <c r="G205" s="123">
        <v>173</v>
      </c>
      <c r="H205" s="126"/>
      <c r="I205" s="126"/>
      <c r="J205" s="126"/>
      <c r="K205" s="126"/>
      <c r="L205" s="126"/>
      <c r="M205" s="121">
        <v>202</v>
      </c>
    </row>
    <row r="206" customHeight="1" spans="1:13">
      <c r="A206" s="121">
        <v>203</v>
      </c>
      <c r="B206" s="122">
        <v>45543</v>
      </c>
      <c r="C206" s="123" t="s">
        <v>31</v>
      </c>
      <c r="D206" s="123">
        <v>3</v>
      </c>
      <c r="E206" s="124" t="s">
        <v>930</v>
      </c>
      <c r="F206" s="127" t="s">
        <v>931</v>
      </c>
      <c r="G206" s="123">
        <v>143</v>
      </c>
      <c r="H206" s="126"/>
      <c r="I206" s="126"/>
      <c r="J206" s="126"/>
      <c r="K206" s="126"/>
      <c r="L206" s="126"/>
      <c r="M206" s="121">
        <v>203</v>
      </c>
    </row>
    <row r="207" customHeight="1" spans="1:13">
      <c r="A207" s="121">
        <v>204</v>
      </c>
      <c r="B207" s="122">
        <v>45543</v>
      </c>
      <c r="C207" s="123" t="s">
        <v>31</v>
      </c>
      <c r="D207" s="123">
        <v>3</v>
      </c>
      <c r="E207" s="124" t="s">
        <v>805</v>
      </c>
      <c r="F207" s="127" t="s">
        <v>932</v>
      </c>
      <c r="G207" s="123">
        <v>110</v>
      </c>
      <c r="H207" s="126"/>
      <c r="I207" s="126"/>
      <c r="J207" s="126"/>
      <c r="K207" s="126"/>
      <c r="L207" s="126"/>
      <c r="M207" s="121">
        <v>204</v>
      </c>
    </row>
    <row r="208" customHeight="1" spans="1:13">
      <c r="A208" s="121">
        <v>205</v>
      </c>
      <c r="B208" s="122">
        <v>45543</v>
      </c>
      <c r="C208" s="123" t="s">
        <v>31</v>
      </c>
      <c r="D208" s="123">
        <v>3</v>
      </c>
      <c r="E208" s="124" t="s">
        <v>656</v>
      </c>
      <c r="F208" s="127" t="s">
        <v>931</v>
      </c>
      <c r="G208" s="123">
        <v>60</v>
      </c>
      <c r="H208" s="126"/>
      <c r="I208" s="126"/>
      <c r="J208" s="126"/>
      <c r="K208" s="126"/>
      <c r="L208" s="126"/>
      <c r="M208" s="121">
        <v>205</v>
      </c>
    </row>
    <row r="209" customHeight="1" spans="1:13">
      <c r="A209" s="121">
        <v>206</v>
      </c>
      <c r="B209" s="122">
        <v>45543</v>
      </c>
      <c r="C209" s="130" t="s">
        <v>31</v>
      </c>
      <c r="D209" s="130">
        <v>3</v>
      </c>
      <c r="E209" s="129" t="s">
        <v>806</v>
      </c>
      <c r="F209" s="127" t="s">
        <v>905</v>
      </c>
      <c r="G209" s="130">
        <v>3</v>
      </c>
      <c r="H209" s="126"/>
      <c r="I209" s="126"/>
      <c r="J209" s="126"/>
      <c r="K209" s="126"/>
      <c r="L209" s="126"/>
      <c r="M209" s="121">
        <v>206</v>
      </c>
    </row>
    <row r="210" customHeight="1" spans="1:13">
      <c r="A210" s="121">
        <v>207</v>
      </c>
      <c r="B210" s="122">
        <v>45543</v>
      </c>
      <c r="C210" s="130" t="s">
        <v>31</v>
      </c>
      <c r="D210" s="130">
        <v>3</v>
      </c>
      <c r="E210" s="129" t="s">
        <v>659</v>
      </c>
      <c r="F210" s="127" t="s">
        <v>933</v>
      </c>
      <c r="G210" s="130">
        <v>36</v>
      </c>
      <c r="H210" s="126"/>
      <c r="I210" s="126"/>
      <c r="J210" s="126"/>
      <c r="K210" s="126"/>
      <c r="L210" s="126"/>
      <c r="M210" s="121">
        <v>207</v>
      </c>
    </row>
    <row r="211" customHeight="1" spans="1:13">
      <c r="A211" s="121">
        <v>208</v>
      </c>
      <c r="B211" s="122">
        <v>45543</v>
      </c>
      <c r="C211" s="130" t="s">
        <v>31</v>
      </c>
      <c r="D211" s="130">
        <v>3</v>
      </c>
      <c r="E211" s="129" t="s">
        <v>664</v>
      </c>
      <c r="F211" s="125" t="s">
        <v>891</v>
      </c>
      <c r="G211" s="130">
        <v>174</v>
      </c>
      <c r="H211" s="126"/>
      <c r="I211" s="126"/>
      <c r="J211" s="126"/>
      <c r="K211" s="126"/>
      <c r="L211" s="126"/>
      <c r="M211" s="121">
        <v>208</v>
      </c>
    </row>
    <row r="212" customHeight="1" spans="1:13">
      <c r="A212" s="121">
        <v>209</v>
      </c>
      <c r="B212" s="122">
        <v>45543</v>
      </c>
      <c r="C212" s="130" t="s">
        <v>31</v>
      </c>
      <c r="D212" s="130">
        <v>3</v>
      </c>
      <c r="E212" s="129" t="s">
        <v>807</v>
      </c>
      <c r="F212" s="125" t="s">
        <v>877</v>
      </c>
      <c r="G212" s="130">
        <v>30</v>
      </c>
      <c r="H212" s="126"/>
      <c r="I212" s="126"/>
      <c r="J212" s="126"/>
      <c r="K212" s="126"/>
      <c r="L212" s="126"/>
      <c r="M212" s="121">
        <v>209</v>
      </c>
    </row>
    <row r="213" customHeight="1" spans="1:13">
      <c r="A213" s="121">
        <v>210</v>
      </c>
      <c r="B213" s="122">
        <v>45543</v>
      </c>
      <c r="C213" s="130" t="s">
        <v>80</v>
      </c>
      <c r="D213" s="130">
        <v>2</v>
      </c>
      <c r="E213" s="129" t="s">
        <v>671</v>
      </c>
      <c r="F213" s="125" t="s">
        <v>934</v>
      </c>
      <c r="G213" s="130">
        <v>378</v>
      </c>
      <c r="H213" s="126"/>
      <c r="I213" s="126"/>
      <c r="J213" s="126"/>
      <c r="K213" s="126"/>
      <c r="L213" s="126"/>
      <c r="M213" s="121">
        <v>210</v>
      </c>
    </row>
    <row r="214" customHeight="1" spans="1:13">
      <c r="A214" s="121">
        <v>211</v>
      </c>
      <c r="B214" s="122">
        <v>45543</v>
      </c>
      <c r="C214" s="130" t="s">
        <v>80</v>
      </c>
      <c r="D214" s="130">
        <v>2</v>
      </c>
      <c r="E214" s="129" t="s">
        <v>675</v>
      </c>
      <c r="F214" s="127" t="s">
        <v>880</v>
      </c>
      <c r="G214" s="130">
        <v>50</v>
      </c>
      <c r="H214" s="126"/>
      <c r="I214" s="126"/>
      <c r="J214" s="126"/>
      <c r="K214" s="126"/>
      <c r="L214" s="126"/>
      <c r="M214" s="121">
        <v>211</v>
      </c>
    </row>
    <row r="215" customHeight="1" spans="1:13">
      <c r="A215" s="121">
        <v>212</v>
      </c>
      <c r="B215" s="122">
        <v>45543</v>
      </c>
      <c r="C215" s="130" t="s">
        <v>80</v>
      </c>
      <c r="D215" s="130">
        <v>2</v>
      </c>
      <c r="E215" s="124" t="s">
        <v>808</v>
      </c>
      <c r="F215" s="127" t="s">
        <v>868</v>
      </c>
      <c r="G215" s="130">
        <v>58</v>
      </c>
      <c r="H215" s="126"/>
      <c r="I215" s="126"/>
      <c r="J215" s="126"/>
      <c r="K215" s="126"/>
      <c r="L215" s="126"/>
      <c r="M215" s="121">
        <v>212</v>
      </c>
    </row>
    <row r="216" customHeight="1" spans="1:13">
      <c r="A216" s="121">
        <v>213</v>
      </c>
      <c r="B216" s="122">
        <v>45543</v>
      </c>
      <c r="C216" s="130" t="s">
        <v>87</v>
      </c>
      <c r="D216" s="130">
        <v>3</v>
      </c>
      <c r="E216" s="124" t="s">
        <v>809</v>
      </c>
      <c r="F216" s="125" t="s">
        <v>926</v>
      </c>
      <c r="G216" s="130">
        <v>14</v>
      </c>
      <c r="H216" s="126"/>
      <c r="I216" s="126"/>
      <c r="J216" s="126"/>
      <c r="K216" s="126"/>
      <c r="L216" s="126"/>
      <c r="M216" s="121">
        <v>213</v>
      </c>
    </row>
    <row r="217" customHeight="1" spans="1:13">
      <c r="A217" s="121">
        <v>214</v>
      </c>
      <c r="B217" s="122">
        <v>45543</v>
      </c>
      <c r="C217" s="130" t="s">
        <v>87</v>
      </c>
      <c r="D217" s="130">
        <v>3</v>
      </c>
      <c r="E217" s="129" t="s">
        <v>681</v>
      </c>
      <c r="F217" s="127" t="s">
        <v>882</v>
      </c>
      <c r="G217" s="130">
        <v>22</v>
      </c>
      <c r="H217" s="126"/>
      <c r="I217" s="126"/>
      <c r="J217" s="126"/>
      <c r="K217" s="126"/>
      <c r="L217" s="126"/>
      <c r="M217" s="121">
        <v>214</v>
      </c>
    </row>
    <row r="218" customHeight="1" spans="1:13">
      <c r="A218" s="121">
        <v>215</v>
      </c>
      <c r="B218" s="122">
        <v>45543</v>
      </c>
      <c r="C218" s="130" t="s">
        <v>87</v>
      </c>
      <c r="D218" s="130">
        <v>3</v>
      </c>
      <c r="E218" s="129" t="s">
        <v>810</v>
      </c>
      <c r="F218" s="125" t="s">
        <v>923</v>
      </c>
      <c r="G218" s="130">
        <v>12</v>
      </c>
      <c r="H218" s="126"/>
      <c r="I218" s="126"/>
      <c r="J218" s="126"/>
      <c r="K218" s="126"/>
      <c r="L218" s="126"/>
      <c r="M218" s="121">
        <v>215</v>
      </c>
    </row>
    <row r="219" customHeight="1" spans="1:13">
      <c r="A219" s="121">
        <v>216</v>
      </c>
      <c r="B219" s="122">
        <v>45543</v>
      </c>
      <c r="C219" s="130" t="s">
        <v>87</v>
      </c>
      <c r="D219" s="130">
        <v>3</v>
      </c>
      <c r="E219" s="129" t="s">
        <v>811</v>
      </c>
      <c r="F219" s="125" t="s">
        <v>869</v>
      </c>
      <c r="G219" s="130">
        <v>5</v>
      </c>
      <c r="H219" s="126"/>
      <c r="I219" s="126"/>
      <c r="J219" s="126"/>
      <c r="K219" s="126"/>
      <c r="L219" s="126"/>
      <c r="M219" s="121">
        <v>216</v>
      </c>
    </row>
    <row r="220" customHeight="1" spans="1:13">
      <c r="A220" s="121">
        <v>217</v>
      </c>
      <c r="B220" s="122">
        <v>45543</v>
      </c>
      <c r="C220" s="130" t="s">
        <v>87</v>
      </c>
      <c r="D220" s="130">
        <v>3</v>
      </c>
      <c r="E220" s="129" t="s">
        <v>812</v>
      </c>
      <c r="F220" s="127" t="s">
        <v>935</v>
      </c>
      <c r="G220" s="130">
        <v>2</v>
      </c>
      <c r="H220" s="126"/>
      <c r="I220" s="126"/>
      <c r="J220" s="126"/>
      <c r="K220" s="126"/>
      <c r="L220" s="126"/>
      <c r="M220" s="121">
        <v>217</v>
      </c>
    </row>
    <row r="221" customHeight="1" spans="1:13">
      <c r="A221" s="121">
        <v>218</v>
      </c>
      <c r="B221" s="122">
        <v>45543</v>
      </c>
      <c r="C221" s="130" t="s">
        <v>87</v>
      </c>
      <c r="D221" s="130">
        <v>3</v>
      </c>
      <c r="E221" s="129" t="s">
        <v>690</v>
      </c>
      <c r="F221" s="127" t="s">
        <v>936</v>
      </c>
      <c r="G221" s="130">
        <v>94</v>
      </c>
      <c r="H221" s="126"/>
      <c r="I221" s="126"/>
      <c r="J221" s="126"/>
      <c r="K221" s="126"/>
      <c r="L221" s="126"/>
      <c r="M221" s="121">
        <v>218</v>
      </c>
    </row>
    <row r="222" customHeight="1" spans="1:13">
      <c r="A222" s="121">
        <v>219</v>
      </c>
      <c r="B222" s="122">
        <v>45543</v>
      </c>
      <c r="C222" s="130" t="s">
        <v>87</v>
      </c>
      <c r="D222" s="130">
        <v>3</v>
      </c>
      <c r="E222" s="129" t="s">
        <v>813</v>
      </c>
      <c r="F222" s="125" t="s">
        <v>877</v>
      </c>
      <c r="G222" s="130">
        <v>30</v>
      </c>
      <c r="H222" s="126"/>
      <c r="I222" s="126"/>
      <c r="J222" s="126"/>
      <c r="K222" s="126"/>
      <c r="L222" s="126"/>
      <c r="M222" s="121">
        <v>219</v>
      </c>
    </row>
    <row r="223" customHeight="1" spans="1:13">
      <c r="A223" s="121">
        <v>220</v>
      </c>
      <c r="B223" s="126"/>
      <c r="C223" s="126"/>
      <c r="D223" s="126"/>
      <c r="E223" s="126"/>
      <c r="F223" s="126"/>
      <c r="G223" s="131"/>
      <c r="H223" s="126"/>
      <c r="I223" s="126"/>
      <c r="J223" s="126"/>
      <c r="K223" s="126"/>
      <c r="L223" s="126"/>
      <c r="M223" s="121">
        <v>220</v>
      </c>
    </row>
    <row r="224" customHeight="1" spans="1:13">
      <c r="A224" s="121">
        <v>221</v>
      </c>
      <c r="B224" s="126"/>
      <c r="C224" s="126"/>
      <c r="D224" s="126"/>
      <c r="E224" s="126"/>
      <c r="F224" s="126"/>
      <c r="G224" s="131"/>
      <c r="H224" s="126"/>
      <c r="I224" s="126"/>
      <c r="J224" s="126"/>
      <c r="K224" s="126"/>
      <c r="L224" s="126"/>
      <c r="M224" s="121">
        <v>221</v>
      </c>
    </row>
    <row r="225" customHeight="1" spans="1:13">
      <c r="A225" s="121">
        <v>222</v>
      </c>
      <c r="B225" s="126"/>
      <c r="C225" s="126"/>
      <c r="D225" s="126"/>
      <c r="E225" s="126"/>
      <c r="F225" s="126"/>
      <c r="G225" s="131"/>
      <c r="H225" s="126"/>
      <c r="I225" s="126"/>
      <c r="J225" s="126"/>
      <c r="K225" s="126"/>
      <c r="L225" s="126"/>
      <c r="M225" s="121">
        <v>222</v>
      </c>
    </row>
    <row r="226" customHeight="1" spans="1:13">
      <c r="A226" s="121">
        <v>223</v>
      </c>
      <c r="B226" s="126"/>
      <c r="C226" s="126"/>
      <c r="D226" s="126"/>
      <c r="E226" s="126"/>
      <c r="F226" s="126"/>
      <c r="G226" s="131"/>
      <c r="H226" s="126"/>
      <c r="I226" s="126"/>
      <c r="J226" s="126"/>
      <c r="K226" s="126"/>
      <c r="L226" s="126"/>
      <c r="M226" s="121">
        <v>223</v>
      </c>
    </row>
    <row r="227" customHeight="1" spans="1:13">
      <c r="A227" s="121">
        <v>224</v>
      </c>
      <c r="B227" s="126"/>
      <c r="C227" s="126"/>
      <c r="D227" s="126"/>
      <c r="E227" s="126"/>
      <c r="F227" s="126"/>
      <c r="G227" s="131"/>
      <c r="H227" s="126"/>
      <c r="I227" s="126"/>
      <c r="J227" s="126"/>
      <c r="K227" s="126"/>
      <c r="L227" s="126"/>
      <c r="M227" s="121">
        <v>224</v>
      </c>
    </row>
    <row r="228" customHeight="1" spans="1:13">
      <c r="A228" s="121">
        <v>225</v>
      </c>
      <c r="B228" s="126"/>
      <c r="C228" s="126"/>
      <c r="D228" s="126"/>
      <c r="E228" s="126"/>
      <c r="F228" s="126"/>
      <c r="G228" s="131"/>
      <c r="H228" s="126"/>
      <c r="I228" s="126"/>
      <c r="J228" s="126"/>
      <c r="K228" s="126"/>
      <c r="L228" s="126"/>
      <c r="M228" s="121">
        <v>225</v>
      </c>
    </row>
    <row r="229" customHeight="1" spans="1:13">
      <c r="A229" s="121">
        <v>226</v>
      </c>
      <c r="B229" s="126"/>
      <c r="C229" s="126"/>
      <c r="D229" s="126"/>
      <c r="E229" s="126"/>
      <c r="F229" s="126"/>
      <c r="G229" s="131"/>
      <c r="H229" s="126"/>
      <c r="I229" s="126"/>
      <c r="J229" s="126"/>
      <c r="K229" s="126"/>
      <c r="L229" s="126"/>
      <c r="M229" s="121">
        <v>226</v>
      </c>
    </row>
    <row r="230" customHeight="1" spans="1:13">
      <c r="A230" s="121">
        <v>227</v>
      </c>
      <c r="B230" s="126"/>
      <c r="C230" s="126"/>
      <c r="D230" s="126"/>
      <c r="E230" s="126"/>
      <c r="F230" s="126"/>
      <c r="G230" s="131"/>
      <c r="H230" s="126"/>
      <c r="I230" s="126"/>
      <c r="J230" s="126"/>
      <c r="K230" s="126"/>
      <c r="L230" s="126"/>
      <c r="M230" s="121">
        <v>227</v>
      </c>
    </row>
    <row r="231" customHeight="1" spans="1:13">
      <c r="A231" s="121">
        <v>228</v>
      </c>
      <c r="B231" s="126"/>
      <c r="C231" s="126"/>
      <c r="D231" s="126"/>
      <c r="E231" s="126"/>
      <c r="F231" s="126"/>
      <c r="G231" s="131"/>
      <c r="H231" s="126"/>
      <c r="I231" s="126"/>
      <c r="J231" s="126"/>
      <c r="K231" s="126"/>
      <c r="L231" s="126"/>
      <c r="M231" s="121">
        <v>228</v>
      </c>
    </row>
    <row r="232" customHeight="1" spans="1:13">
      <c r="A232" s="121">
        <v>229</v>
      </c>
      <c r="B232" s="126"/>
      <c r="C232" s="126"/>
      <c r="D232" s="126"/>
      <c r="E232" s="126"/>
      <c r="F232" s="126"/>
      <c r="G232" s="131"/>
      <c r="H232" s="126"/>
      <c r="I232" s="126"/>
      <c r="J232" s="126"/>
      <c r="K232" s="126"/>
      <c r="L232" s="126"/>
      <c r="M232" s="121">
        <v>229</v>
      </c>
    </row>
    <row r="233" customHeight="1" spans="1:13">
      <c r="A233" s="121">
        <v>230</v>
      </c>
      <c r="B233" s="126"/>
      <c r="C233" s="126"/>
      <c r="D233" s="126"/>
      <c r="E233" s="126"/>
      <c r="F233" s="126"/>
      <c r="G233" s="131"/>
      <c r="H233" s="126"/>
      <c r="I233" s="126"/>
      <c r="J233" s="126"/>
      <c r="K233" s="126"/>
      <c r="L233" s="126"/>
      <c r="M233" s="121">
        <v>230</v>
      </c>
    </row>
    <row r="234" customHeight="1" spans="1:13">
      <c r="A234" s="121">
        <v>231</v>
      </c>
      <c r="B234" s="126"/>
      <c r="C234" s="126"/>
      <c r="D234" s="126"/>
      <c r="E234" s="126"/>
      <c r="F234" s="126"/>
      <c r="G234" s="131"/>
      <c r="H234" s="126"/>
      <c r="I234" s="126"/>
      <c r="J234" s="126"/>
      <c r="K234" s="126"/>
      <c r="L234" s="126"/>
      <c r="M234" s="121">
        <v>231</v>
      </c>
    </row>
    <row r="235" customHeight="1" spans="1:13">
      <c r="A235" s="121">
        <v>232</v>
      </c>
      <c r="B235" s="126"/>
      <c r="C235" s="126"/>
      <c r="D235" s="126"/>
      <c r="E235" s="126"/>
      <c r="F235" s="126"/>
      <c r="G235" s="131"/>
      <c r="H235" s="126"/>
      <c r="I235" s="126"/>
      <c r="J235" s="126"/>
      <c r="K235" s="126"/>
      <c r="L235" s="126"/>
      <c r="M235" s="121">
        <v>232</v>
      </c>
    </row>
    <row r="236" customHeight="1" spans="1:13">
      <c r="A236" s="121">
        <v>233</v>
      </c>
      <c r="B236" s="126"/>
      <c r="C236" s="126"/>
      <c r="D236" s="126"/>
      <c r="E236" s="126"/>
      <c r="F236" s="126"/>
      <c r="G236" s="131"/>
      <c r="H236" s="126"/>
      <c r="I236" s="126"/>
      <c r="J236" s="126"/>
      <c r="K236" s="126"/>
      <c r="L236" s="126"/>
      <c r="M236" s="121">
        <v>233</v>
      </c>
    </row>
    <row r="237" customHeight="1" spans="1:13">
      <c r="A237" s="121">
        <v>234</v>
      </c>
      <c r="B237" s="126"/>
      <c r="C237" s="126"/>
      <c r="D237" s="126"/>
      <c r="E237" s="126"/>
      <c r="F237" s="126"/>
      <c r="G237" s="131"/>
      <c r="H237" s="126"/>
      <c r="I237" s="126"/>
      <c r="J237" s="126"/>
      <c r="K237" s="126"/>
      <c r="L237" s="126"/>
      <c r="M237" s="121">
        <v>234</v>
      </c>
    </row>
    <row r="238" customHeight="1" spans="1:13">
      <c r="A238" s="121">
        <v>235</v>
      </c>
      <c r="B238" s="126"/>
      <c r="C238" s="126"/>
      <c r="D238" s="126"/>
      <c r="E238" s="126"/>
      <c r="F238" s="126"/>
      <c r="G238" s="131"/>
      <c r="H238" s="126"/>
      <c r="I238" s="126"/>
      <c r="J238" s="126"/>
      <c r="K238" s="126"/>
      <c r="L238" s="126"/>
      <c r="M238" s="121">
        <v>235</v>
      </c>
    </row>
    <row r="239" customHeight="1" spans="1:13">
      <c r="A239" s="121">
        <v>236</v>
      </c>
      <c r="B239" s="126"/>
      <c r="C239" s="126"/>
      <c r="D239" s="126"/>
      <c r="E239" s="126"/>
      <c r="F239" s="126"/>
      <c r="G239" s="131"/>
      <c r="H239" s="126"/>
      <c r="I239" s="126"/>
      <c r="J239" s="126"/>
      <c r="K239" s="126"/>
      <c r="L239" s="126"/>
      <c r="M239" s="121">
        <v>236</v>
      </c>
    </row>
    <row r="240" customHeight="1" spans="1:13">
      <c r="A240" s="121">
        <v>237</v>
      </c>
      <c r="B240" s="126"/>
      <c r="C240" s="126"/>
      <c r="D240" s="126"/>
      <c r="E240" s="126"/>
      <c r="F240" s="126"/>
      <c r="G240" s="131"/>
      <c r="H240" s="126"/>
      <c r="I240" s="126"/>
      <c r="J240" s="126"/>
      <c r="K240" s="126"/>
      <c r="L240" s="126"/>
      <c r="M240" s="121">
        <v>237</v>
      </c>
    </row>
    <row r="241" customHeight="1" spans="1:13">
      <c r="A241" s="121">
        <v>238</v>
      </c>
      <c r="B241" s="126"/>
      <c r="C241" s="126"/>
      <c r="D241" s="126"/>
      <c r="E241" s="126"/>
      <c r="F241" s="126"/>
      <c r="G241" s="131"/>
      <c r="H241" s="126"/>
      <c r="I241" s="126"/>
      <c r="J241" s="126"/>
      <c r="K241" s="126"/>
      <c r="L241" s="126"/>
      <c r="M241" s="121">
        <v>238</v>
      </c>
    </row>
    <row r="242" customHeight="1" spans="1:13">
      <c r="A242" s="121">
        <v>239</v>
      </c>
      <c r="B242" s="126"/>
      <c r="C242" s="126"/>
      <c r="D242" s="126"/>
      <c r="E242" s="126"/>
      <c r="F242" s="126"/>
      <c r="G242" s="131"/>
      <c r="H242" s="126"/>
      <c r="I242" s="126"/>
      <c r="J242" s="126"/>
      <c r="K242" s="126"/>
      <c r="L242" s="126"/>
      <c r="M242" s="121">
        <v>239</v>
      </c>
    </row>
    <row r="243" customHeight="1" spans="1:13">
      <c r="A243" s="121">
        <v>240</v>
      </c>
      <c r="B243" s="126"/>
      <c r="C243" s="126"/>
      <c r="D243" s="126"/>
      <c r="E243" s="126"/>
      <c r="F243" s="126"/>
      <c r="G243" s="131"/>
      <c r="H243" s="126"/>
      <c r="I243" s="126"/>
      <c r="J243" s="126"/>
      <c r="K243" s="126"/>
      <c r="L243" s="126"/>
      <c r="M243" s="121">
        <v>240</v>
      </c>
    </row>
    <row r="244" customHeight="1" spans="1:13">
      <c r="A244" s="121">
        <v>241</v>
      </c>
      <c r="B244" s="126"/>
      <c r="C244" s="126"/>
      <c r="D244" s="126"/>
      <c r="E244" s="126"/>
      <c r="F244" s="126"/>
      <c r="G244" s="131"/>
      <c r="H244" s="126"/>
      <c r="I244" s="126"/>
      <c r="J244" s="126"/>
      <c r="K244" s="126"/>
      <c r="L244" s="126"/>
      <c r="M244" s="121">
        <v>241</v>
      </c>
    </row>
    <row r="245" customHeight="1" spans="1:13">
      <c r="A245" s="121">
        <v>242</v>
      </c>
      <c r="B245" s="126"/>
      <c r="C245" s="126"/>
      <c r="D245" s="126"/>
      <c r="E245" s="126"/>
      <c r="F245" s="126"/>
      <c r="G245" s="131"/>
      <c r="H245" s="126"/>
      <c r="I245" s="126"/>
      <c r="J245" s="126"/>
      <c r="K245" s="126"/>
      <c r="L245" s="126"/>
      <c r="M245" s="121">
        <v>242</v>
      </c>
    </row>
    <row r="246" customHeight="1" spans="1:13">
      <c r="A246" s="121">
        <v>243</v>
      </c>
      <c r="B246" s="126"/>
      <c r="C246" s="126"/>
      <c r="D246" s="126"/>
      <c r="E246" s="126"/>
      <c r="F246" s="126"/>
      <c r="G246" s="131"/>
      <c r="H246" s="126"/>
      <c r="I246" s="126"/>
      <c r="J246" s="126"/>
      <c r="K246" s="126"/>
      <c r="L246" s="126"/>
      <c r="M246" s="121">
        <v>243</v>
      </c>
    </row>
    <row r="247" customHeight="1" spans="1:13">
      <c r="A247" s="121">
        <v>244</v>
      </c>
      <c r="B247" s="126"/>
      <c r="C247" s="126"/>
      <c r="D247" s="126"/>
      <c r="E247" s="126"/>
      <c r="F247" s="126"/>
      <c r="G247" s="131"/>
      <c r="H247" s="126"/>
      <c r="I247" s="126"/>
      <c r="J247" s="126"/>
      <c r="K247" s="126"/>
      <c r="L247" s="126"/>
      <c r="M247" s="121">
        <v>244</v>
      </c>
    </row>
    <row r="248" customHeight="1" spans="1:13">
      <c r="A248" s="121">
        <v>245</v>
      </c>
      <c r="B248" s="126"/>
      <c r="C248" s="126"/>
      <c r="D248" s="126"/>
      <c r="E248" s="126"/>
      <c r="F248" s="126"/>
      <c r="G248" s="131"/>
      <c r="H248" s="126"/>
      <c r="I248" s="126"/>
      <c r="J248" s="126"/>
      <c r="K248" s="126"/>
      <c r="L248" s="126"/>
      <c r="M248" s="121">
        <v>245</v>
      </c>
    </row>
    <row r="249" customHeight="1" spans="1:13">
      <c r="A249" s="121">
        <v>246</v>
      </c>
      <c r="B249" s="126"/>
      <c r="C249" s="126"/>
      <c r="D249" s="126"/>
      <c r="E249" s="126"/>
      <c r="F249" s="126"/>
      <c r="G249" s="131"/>
      <c r="H249" s="126"/>
      <c r="I249" s="126"/>
      <c r="J249" s="126"/>
      <c r="K249" s="126"/>
      <c r="L249" s="126"/>
      <c r="M249" s="121">
        <v>246</v>
      </c>
    </row>
    <row r="250" customHeight="1" spans="1:13">
      <c r="A250" s="121">
        <v>247</v>
      </c>
      <c r="B250" s="126"/>
      <c r="C250" s="126"/>
      <c r="D250" s="126"/>
      <c r="E250" s="126"/>
      <c r="F250" s="126"/>
      <c r="G250" s="131"/>
      <c r="H250" s="126"/>
      <c r="I250" s="126"/>
      <c r="J250" s="126"/>
      <c r="K250" s="126"/>
      <c r="L250" s="126"/>
      <c r="M250" s="121">
        <v>247</v>
      </c>
    </row>
    <row r="251" customHeight="1" spans="1:13">
      <c r="A251" s="121">
        <v>248</v>
      </c>
      <c r="B251" s="126"/>
      <c r="C251" s="126"/>
      <c r="D251" s="126"/>
      <c r="E251" s="126"/>
      <c r="F251" s="126"/>
      <c r="G251" s="131"/>
      <c r="H251" s="126"/>
      <c r="I251" s="126"/>
      <c r="J251" s="126"/>
      <c r="K251" s="126"/>
      <c r="L251" s="126"/>
      <c r="M251" s="121">
        <v>248</v>
      </c>
    </row>
    <row r="252" customHeight="1" spans="1:13">
      <c r="A252" s="121">
        <v>249</v>
      </c>
      <c r="B252" s="126"/>
      <c r="C252" s="126"/>
      <c r="D252" s="126"/>
      <c r="E252" s="126"/>
      <c r="F252" s="126"/>
      <c r="G252" s="131"/>
      <c r="H252" s="126"/>
      <c r="I252" s="126"/>
      <c r="J252" s="126"/>
      <c r="K252" s="126"/>
      <c r="L252" s="126"/>
      <c r="M252" s="121">
        <v>249</v>
      </c>
    </row>
    <row r="253" customHeight="1" spans="1:13">
      <c r="A253" s="121">
        <v>250</v>
      </c>
      <c r="B253" s="126"/>
      <c r="C253" s="126"/>
      <c r="D253" s="126"/>
      <c r="E253" s="126"/>
      <c r="F253" s="126"/>
      <c r="G253" s="131"/>
      <c r="H253" s="126"/>
      <c r="I253" s="126"/>
      <c r="J253" s="126"/>
      <c r="K253" s="126"/>
      <c r="L253" s="126"/>
      <c r="M253" s="121">
        <v>250</v>
      </c>
    </row>
    <row r="254" customHeight="1" spans="1:13">
      <c r="A254" s="121">
        <v>251</v>
      </c>
      <c r="B254" s="126"/>
      <c r="C254" s="126"/>
      <c r="D254" s="126"/>
      <c r="E254" s="126"/>
      <c r="F254" s="126"/>
      <c r="G254" s="131"/>
      <c r="H254" s="126"/>
      <c r="I254" s="126"/>
      <c r="J254" s="126"/>
      <c r="K254" s="126"/>
      <c r="L254" s="126"/>
      <c r="M254" s="121">
        <v>251</v>
      </c>
    </row>
    <row r="255" customHeight="1" spans="1:13">
      <c r="A255" s="121">
        <v>252</v>
      </c>
      <c r="B255" s="126"/>
      <c r="C255" s="126"/>
      <c r="D255" s="126"/>
      <c r="E255" s="126"/>
      <c r="F255" s="126"/>
      <c r="G255" s="131"/>
      <c r="H255" s="126"/>
      <c r="I255" s="126"/>
      <c r="J255" s="126"/>
      <c r="K255" s="126"/>
      <c r="L255" s="126"/>
      <c r="M255" s="121">
        <v>252</v>
      </c>
    </row>
    <row r="256" customHeight="1" spans="1:13">
      <c r="A256" s="121">
        <v>253</v>
      </c>
      <c r="B256" s="126"/>
      <c r="C256" s="126"/>
      <c r="D256" s="126"/>
      <c r="E256" s="126"/>
      <c r="F256" s="126"/>
      <c r="G256" s="131"/>
      <c r="H256" s="126"/>
      <c r="I256" s="126"/>
      <c r="J256" s="126"/>
      <c r="K256" s="126"/>
      <c r="L256" s="126"/>
      <c r="M256" s="121">
        <v>253</v>
      </c>
    </row>
    <row r="257" customHeight="1" spans="1:13">
      <c r="A257" s="121">
        <v>254</v>
      </c>
      <c r="B257" s="126"/>
      <c r="C257" s="126"/>
      <c r="D257" s="126"/>
      <c r="E257" s="126"/>
      <c r="F257" s="126"/>
      <c r="G257" s="131"/>
      <c r="H257" s="126"/>
      <c r="I257" s="126"/>
      <c r="J257" s="126"/>
      <c r="K257" s="126"/>
      <c r="L257" s="126"/>
      <c r="M257" s="121">
        <v>254</v>
      </c>
    </row>
    <row r="258" customHeight="1" spans="1:13">
      <c r="A258" s="121">
        <v>255</v>
      </c>
      <c r="B258" s="126"/>
      <c r="C258" s="126"/>
      <c r="D258" s="126"/>
      <c r="E258" s="126"/>
      <c r="F258" s="126"/>
      <c r="G258" s="131"/>
      <c r="H258" s="126"/>
      <c r="I258" s="126"/>
      <c r="J258" s="126"/>
      <c r="K258" s="126"/>
      <c r="L258" s="126"/>
      <c r="M258" s="121">
        <v>255</v>
      </c>
    </row>
    <row r="259" customHeight="1" spans="1:13">
      <c r="A259" s="121">
        <v>256</v>
      </c>
      <c r="B259" s="126"/>
      <c r="C259" s="126"/>
      <c r="D259" s="126"/>
      <c r="E259" s="126"/>
      <c r="F259" s="126"/>
      <c r="G259" s="131"/>
      <c r="H259" s="126"/>
      <c r="I259" s="126"/>
      <c r="J259" s="126"/>
      <c r="K259" s="126"/>
      <c r="L259" s="126"/>
      <c r="M259" s="121">
        <v>256</v>
      </c>
    </row>
    <row r="260" customHeight="1" spans="1:13">
      <c r="A260" s="121">
        <v>257</v>
      </c>
      <c r="B260" s="126"/>
      <c r="C260" s="126"/>
      <c r="D260" s="126"/>
      <c r="E260" s="126"/>
      <c r="F260" s="126"/>
      <c r="G260" s="131"/>
      <c r="H260" s="126"/>
      <c r="I260" s="126"/>
      <c r="J260" s="126"/>
      <c r="K260" s="126"/>
      <c r="L260" s="126"/>
      <c r="M260" s="121">
        <v>257</v>
      </c>
    </row>
    <row r="261" customHeight="1" spans="1:13">
      <c r="A261" s="121">
        <v>258</v>
      </c>
      <c r="B261" s="126"/>
      <c r="C261" s="126"/>
      <c r="D261" s="126"/>
      <c r="E261" s="126"/>
      <c r="F261" s="126"/>
      <c r="G261" s="131"/>
      <c r="H261" s="126"/>
      <c r="I261" s="126"/>
      <c r="J261" s="126"/>
      <c r="K261" s="126"/>
      <c r="L261" s="126"/>
      <c r="M261" s="121">
        <v>258</v>
      </c>
    </row>
    <row r="262" customHeight="1" spans="1:13">
      <c r="A262" s="121">
        <v>259</v>
      </c>
      <c r="B262" s="126"/>
      <c r="C262" s="126"/>
      <c r="D262" s="126"/>
      <c r="E262" s="126"/>
      <c r="F262" s="126"/>
      <c r="G262" s="131"/>
      <c r="H262" s="126"/>
      <c r="I262" s="126"/>
      <c r="J262" s="126"/>
      <c r="K262" s="126"/>
      <c r="L262" s="126"/>
      <c r="M262" s="121">
        <v>259</v>
      </c>
    </row>
    <row r="263" customHeight="1" spans="1:13">
      <c r="A263" s="121">
        <v>260</v>
      </c>
      <c r="B263" s="126"/>
      <c r="C263" s="126"/>
      <c r="D263" s="126"/>
      <c r="E263" s="126"/>
      <c r="F263" s="126"/>
      <c r="G263" s="131"/>
      <c r="H263" s="126"/>
      <c r="I263" s="126"/>
      <c r="J263" s="126"/>
      <c r="K263" s="126"/>
      <c r="L263" s="126"/>
      <c r="M263" s="121">
        <v>260</v>
      </c>
    </row>
  </sheetData>
  <mergeCells count="2">
    <mergeCell ref="A1:L1"/>
    <mergeCell ref="A2:L2"/>
  </mergeCells>
  <pageMargins left="0.0393700787401575" right="0.0393700787401575" top="0.354330709" bottom="0.354330708661417" header="0.31496062992126" footer="0.31496062992126"/>
  <pageSetup paperSize="9" scale="76" fitToHeight="0" orientation="landscape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6"/>
  <sheetViews>
    <sheetView zoomScale="85" zoomScaleNormal="85" workbookViewId="0">
      <selection activeCell="I9" sqref="I9"/>
    </sheetView>
  </sheetViews>
  <sheetFormatPr defaultColWidth="9.12962962962963" defaultRowHeight="22.5" customHeight="1"/>
  <cols>
    <col min="1" max="2" width="4.75" style="1" customWidth="1"/>
    <col min="3" max="3" width="10.75" style="25" customWidth="1"/>
    <col min="4" max="4" width="13.25" style="25" customWidth="1"/>
    <col min="5" max="5" width="3.25" style="25" customWidth="1"/>
    <col min="6" max="6" width="101.12962962963" style="25" customWidth="1"/>
    <col min="7" max="7" width="8.75" style="25" customWidth="1"/>
    <col min="8" max="8" width="19.6296296296296" style="25" customWidth="1"/>
    <col min="9" max="9" width="78" style="25" customWidth="1"/>
    <col min="10" max="10" width="21.8796296296296" style="25" customWidth="1"/>
    <col min="11" max="16384" width="9.12962962962963" style="25"/>
  </cols>
  <sheetData>
    <row r="1" s="24" customFormat="1" customHeight="1" spans="1:10">
      <c r="A1" s="2" t="s">
        <v>817</v>
      </c>
      <c r="B1" s="2" t="s">
        <v>937</v>
      </c>
      <c r="C1" s="26" t="s">
        <v>938</v>
      </c>
      <c r="D1" s="27" t="s">
        <v>939</v>
      </c>
      <c r="E1" s="27" t="s">
        <v>818</v>
      </c>
      <c r="F1" s="27" t="s">
        <v>940</v>
      </c>
      <c r="G1" s="27" t="s">
        <v>941</v>
      </c>
      <c r="H1" s="27" t="s">
        <v>942</v>
      </c>
      <c r="I1" s="27" t="s">
        <v>943</v>
      </c>
      <c r="J1" s="44" t="s">
        <v>695</v>
      </c>
    </row>
    <row r="2" customHeight="1" spans="1:10">
      <c r="A2" s="97">
        <v>1</v>
      </c>
      <c r="B2" s="97">
        <v>1</v>
      </c>
      <c r="C2" s="110">
        <v>45535</v>
      </c>
      <c r="D2" s="97" t="s">
        <v>11</v>
      </c>
      <c r="E2" s="109">
        <v>2</v>
      </c>
      <c r="F2" s="97" t="s">
        <v>699</v>
      </c>
      <c r="G2" s="109">
        <v>28</v>
      </c>
      <c r="H2" s="111" t="s">
        <v>13</v>
      </c>
      <c r="I2" s="112" t="s">
        <v>944</v>
      </c>
      <c r="J2" s="101" t="s">
        <v>827</v>
      </c>
    </row>
    <row r="3" customHeight="1" spans="1:10">
      <c r="A3" s="97">
        <v>2</v>
      </c>
      <c r="B3" s="97">
        <v>2</v>
      </c>
      <c r="C3" s="110">
        <v>45535</v>
      </c>
      <c r="D3" s="97" t="s">
        <v>11</v>
      </c>
      <c r="E3" s="109">
        <v>2</v>
      </c>
      <c r="F3" s="97" t="s">
        <v>20</v>
      </c>
      <c r="G3" s="109">
        <v>44</v>
      </c>
      <c r="H3" s="111" t="s">
        <v>13</v>
      </c>
      <c r="I3" s="112" t="s">
        <v>944</v>
      </c>
      <c r="J3" s="97" t="s">
        <v>828</v>
      </c>
    </row>
    <row r="4" customHeight="1" spans="1:10">
      <c r="A4" s="97">
        <v>3</v>
      </c>
      <c r="B4" s="97">
        <v>3</v>
      </c>
      <c r="C4" s="110">
        <v>45535</v>
      </c>
      <c r="D4" s="97" t="s">
        <v>11</v>
      </c>
      <c r="E4" s="109">
        <v>2</v>
      </c>
      <c r="F4" s="97" t="s">
        <v>23</v>
      </c>
      <c r="G4" s="109">
        <v>48</v>
      </c>
      <c r="H4" s="111" t="s">
        <v>24</v>
      </c>
      <c r="I4" s="112" t="s">
        <v>945</v>
      </c>
      <c r="J4" s="101" t="s">
        <v>829</v>
      </c>
    </row>
    <row r="5" customHeight="1" spans="1:10">
      <c r="A5" s="97">
        <v>3</v>
      </c>
      <c r="B5" s="97">
        <v>4</v>
      </c>
      <c r="C5" s="110">
        <v>45535</v>
      </c>
      <c r="D5" s="97" t="s">
        <v>11</v>
      </c>
      <c r="E5" s="109">
        <v>2</v>
      </c>
      <c r="F5" s="97" t="s">
        <v>23</v>
      </c>
      <c r="G5" s="109">
        <v>27</v>
      </c>
      <c r="H5" s="111" t="s">
        <v>27</v>
      </c>
      <c r="I5" s="112" t="s">
        <v>946</v>
      </c>
      <c r="J5" s="101" t="s">
        <v>829</v>
      </c>
    </row>
    <row r="6" customHeight="1" spans="1:10">
      <c r="A6" s="97">
        <v>3</v>
      </c>
      <c r="B6" s="97">
        <v>5</v>
      </c>
      <c r="C6" s="110">
        <v>45535</v>
      </c>
      <c r="D6" s="97" t="s">
        <v>11</v>
      </c>
      <c r="E6" s="109">
        <v>2</v>
      </c>
      <c r="F6" s="97" t="s">
        <v>29</v>
      </c>
      <c r="G6" s="109">
        <v>17</v>
      </c>
      <c r="H6" s="111" t="s">
        <v>27</v>
      </c>
      <c r="I6" s="112" t="s">
        <v>946</v>
      </c>
      <c r="J6" s="101" t="s">
        <v>829</v>
      </c>
    </row>
    <row r="7" customHeight="1" spans="1:10">
      <c r="A7" s="97">
        <v>3</v>
      </c>
      <c r="B7" s="97">
        <v>6</v>
      </c>
      <c r="C7" s="110">
        <v>45535</v>
      </c>
      <c r="D7" s="97" t="s">
        <v>11</v>
      </c>
      <c r="E7" s="109">
        <v>2</v>
      </c>
      <c r="F7" s="97" t="s">
        <v>30</v>
      </c>
      <c r="G7" s="109">
        <v>42</v>
      </c>
      <c r="H7" s="111" t="s">
        <v>27</v>
      </c>
      <c r="I7" s="112" t="s">
        <v>946</v>
      </c>
      <c r="J7" s="101" t="s">
        <v>829</v>
      </c>
    </row>
    <row r="8" ht="57" customHeight="1" spans="1:10">
      <c r="A8" s="97">
        <v>4</v>
      </c>
      <c r="B8" s="97">
        <v>7</v>
      </c>
      <c r="C8" s="110">
        <v>45535</v>
      </c>
      <c r="D8" s="97" t="s">
        <v>31</v>
      </c>
      <c r="E8" s="109">
        <v>3</v>
      </c>
      <c r="F8" s="97" t="s">
        <v>32</v>
      </c>
      <c r="G8" s="109">
        <v>126</v>
      </c>
      <c r="H8" s="111" t="s">
        <v>33</v>
      </c>
      <c r="I8" s="113" t="s">
        <v>947</v>
      </c>
      <c r="J8" s="97" t="s">
        <v>830</v>
      </c>
    </row>
    <row r="9" ht="57" customHeight="1" spans="1:10">
      <c r="A9" s="97">
        <v>5</v>
      </c>
      <c r="B9" s="97">
        <v>8</v>
      </c>
      <c r="C9" s="110">
        <v>45535</v>
      </c>
      <c r="D9" s="97" t="s">
        <v>31</v>
      </c>
      <c r="E9" s="109">
        <v>3</v>
      </c>
      <c r="F9" s="97" t="s">
        <v>38</v>
      </c>
      <c r="G9" s="109">
        <v>239</v>
      </c>
      <c r="H9" s="111" t="s">
        <v>39</v>
      </c>
      <c r="I9" s="113" t="s">
        <v>948</v>
      </c>
      <c r="J9" s="97" t="s">
        <v>831</v>
      </c>
    </row>
    <row r="10" ht="57" customHeight="1" spans="1:10">
      <c r="A10" s="97">
        <v>6</v>
      </c>
      <c r="B10" s="97">
        <v>9</v>
      </c>
      <c r="C10" s="110">
        <v>45535</v>
      </c>
      <c r="D10" s="97" t="s">
        <v>31</v>
      </c>
      <c r="E10" s="109">
        <v>3</v>
      </c>
      <c r="F10" s="97" t="s">
        <v>43</v>
      </c>
      <c r="G10" s="109">
        <v>400</v>
      </c>
      <c r="H10" s="111" t="s">
        <v>44</v>
      </c>
      <c r="I10" s="113" t="s">
        <v>949</v>
      </c>
      <c r="J10" s="97" t="s">
        <v>832</v>
      </c>
    </row>
    <row r="11" customHeight="1" spans="1:10">
      <c r="A11" s="97">
        <v>7</v>
      </c>
      <c r="B11" s="97">
        <v>10</v>
      </c>
      <c r="C11" s="110">
        <v>45535</v>
      </c>
      <c r="D11" s="97" t="s">
        <v>31</v>
      </c>
      <c r="E11" s="109">
        <v>3</v>
      </c>
      <c r="F11" s="97" t="s">
        <v>48</v>
      </c>
      <c r="G11" s="109">
        <v>58</v>
      </c>
      <c r="H11" s="111" t="s">
        <v>49</v>
      </c>
      <c r="I11" s="112" t="s">
        <v>950</v>
      </c>
      <c r="J11" s="97" t="s">
        <v>831</v>
      </c>
    </row>
    <row r="12" customHeight="1" spans="1:10">
      <c r="A12" s="97">
        <v>8</v>
      </c>
      <c r="B12" s="97">
        <v>11</v>
      </c>
      <c r="C12" s="110">
        <v>45535</v>
      </c>
      <c r="D12" s="97" t="s">
        <v>31</v>
      </c>
      <c r="E12" s="109">
        <v>3</v>
      </c>
      <c r="F12" s="97" t="s">
        <v>52</v>
      </c>
      <c r="G12" s="109">
        <v>24</v>
      </c>
      <c r="H12" s="111" t="s">
        <v>53</v>
      </c>
      <c r="I12" s="112" t="s">
        <v>951</v>
      </c>
      <c r="J12" s="97" t="s">
        <v>833</v>
      </c>
    </row>
    <row r="13" ht="57" customHeight="1" spans="1:10">
      <c r="A13" s="97">
        <v>9</v>
      </c>
      <c r="B13" s="97">
        <v>12</v>
      </c>
      <c r="C13" s="110">
        <v>45535</v>
      </c>
      <c r="D13" s="97" t="s">
        <v>31</v>
      </c>
      <c r="E13" s="109">
        <v>3</v>
      </c>
      <c r="F13" s="97" t="s">
        <v>57</v>
      </c>
      <c r="G13" s="109">
        <v>136</v>
      </c>
      <c r="H13" s="111" t="s">
        <v>58</v>
      </c>
      <c r="I13" s="113" t="s">
        <v>952</v>
      </c>
      <c r="J13" s="97" t="s">
        <v>834</v>
      </c>
    </row>
    <row r="14" customHeight="1" spans="1:10">
      <c r="A14" s="97">
        <v>10</v>
      </c>
      <c r="B14" s="97">
        <v>13</v>
      </c>
      <c r="C14" s="110">
        <v>45535</v>
      </c>
      <c r="D14" s="97" t="s">
        <v>31</v>
      </c>
      <c r="E14" s="109">
        <v>3</v>
      </c>
      <c r="F14" s="97" t="s">
        <v>62</v>
      </c>
      <c r="G14" s="109">
        <v>63</v>
      </c>
      <c r="H14" s="111" t="s">
        <v>63</v>
      </c>
      <c r="I14" s="112" t="s">
        <v>953</v>
      </c>
      <c r="J14" s="97" t="s">
        <v>835</v>
      </c>
    </row>
    <row r="15" customHeight="1" spans="1:10">
      <c r="A15" s="97">
        <v>11</v>
      </c>
      <c r="B15" s="97">
        <v>14</v>
      </c>
      <c r="C15" s="110">
        <v>45535</v>
      </c>
      <c r="D15" s="97" t="s">
        <v>31</v>
      </c>
      <c r="E15" s="109">
        <v>3</v>
      </c>
      <c r="F15" s="97" t="s">
        <v>67</v>
      </c>
      <c r="G15" s="109">
        <v>4</v>
      </c>
      <c r="H15" s="111" t="s">
        <v>68</v>
      </c>
      <c r="I15" s="112" t="s">
        <v>954</v>
      </c>
      <c r="J15" s="101" t="s">
        <v>836</v>
      </c>
    </row>
    <row r="16" customHeight="1" spans="1:10">
      <c r="A16" s="97">
        <v>11</v>
      </c>
      <c r="B16" s="97">
        <v>15</v>
      </c>
      <c r="C16" s="110">
        <v>45535</v>
      </c>
      <c r="D16" s="97" t="s">
        <v>31</v>
      </c>
      <c r="E16" s="109">
        <v>3</v>
      </c>
      <c r="F16" s="97" t="s">
        <v>71</v>
      </c>
      <c r="G16" s="109">
        <v>38</v>
      </c>
      <c r="H16" s="111" t="s">
        <v>68</v>
      </c>
      <c r="I16" s="112" t="s">
        <v>954</v>
      </c>
      <c r="J16" s="101" t="s">
        <v>836</v>
      </c>
    </row>
    <row r="17" ht="57" customHeight="1" spans="1:10">
      <c r="A17" s="97">
        <v>12</v>
      </c>
      <c r="B17" s="97">
        <v>16</v>
      </c>
      <c r="C17" s="110">
        <v>45535</v>
      </c>
      <c r="D17" s="97" t="s">
        <v>31</v>
      </c>
      <c r="E17" s="109">
        <v>3</v>
      </c>
      <c r="F17" s="97" t="s">
        <v>72</v>
      </c>
      <c r="G17" s="109">
        <v>134</v>
      </c>
      <c r="H17" s="111" t="s">
        <v>73</v>
      </c>
      <c r="I17" s="113" t="s">
        <v>955</v>
      </c>
      <c r="J17" s="101" t="s">
        <v>837</v>
      </c>
    </row>
    <row r="18" customHeight="1" spans="1:10">
      <c r="A18" s="97">
        <v>13</v>
      </c>
      <c r="B18" s="97">
        <v>17</v>
      </c>
      <c r="C18" s="110">
        <v>45535</v>
      </c>
      <c r="D18" s="97" t="s">
        <v>31</v>
      </c>
      <c r="E18" s="109">
        <v>3</v>
      </c>
      <c r="F18" s="97" t="s">
        <v>76</v>
      </c>
      <c r="G18" s="109">
        <v>97</v>
      </c>
      <c r="H18" s="111" t="s">
        <v>77</v>
      </c>
      <c r="I18" s="112" t="s">
        <v>956</v>
      </c>
      <c r="J18" s="101" t="s">
        <v>838</v>
      </c>
    </row>
    <row r="19" ht="57" customHeight="1" spans="1:10">
      <c r="A19" s="97">
        <v>14</v>
      </c>
      <c r="B19" s="97">
        <v>18</v>
      </c>
      <c r="C19" s="110">
        <v>45535</v>
      </c>
      <c r="D19" s="97" t="s">
        <v>80</v>
      </c>
      <c r="E19" s="109">
        <v>2</v>
      </c>
      <c r="F19" s="97" t="s">
        <v>81</v>
      </c>
      <c r="G19" s="109">
        <v>412</v>
      </c>
      <c r="H19" s="111" t="s">
        <v>44</v>
      </c>
      <c r="I19" s="113" t="s">
        <v>957</v>
      </c>
      <c r="J19" s="97" t="s">
        <v>839</v>
      </c>
    </row>
    <row r="20" customHeight="1" spans="1:10">
      <c r="A20" s="97">
        <v>14</v>
      </c>
      <c r="B20" s="97">
        <v>19</v>
      </c>
      <c r="C20" s="110">
        <v>45535</v>
      </c>
      <c r="D20" s="97" t="s">
        <v>80</v>
      </c>
      <c r="E20" s="109">
        <v>2</v>
      </c>
      <c r="F20" s="97" t="s">
        <v>85</v>
      </c>
      <c r="G20" s="109">
        <v>11</v>
      </c>
      <c r="H20" s="111" t="s">
        <v>63</v>
      </c>
      <c r="I20" s="112" t="s">
        <v>958</v>
      </c>
      <c r="J20" s="97" t="s">
        <v>839</v>
      </c>
    </row>
    <row r="21" customHeight="1" spans="1:10">
      <c r="A21" s="97">
        <v>15</v>
      </c>
      <c r="B21" s="97">
        <v>20</v>
      </c>
      <c r="C21" s="110">
        <v>45535</v>
      </c>
      <c r="D21" s="97" t="s">
        <v>87</v>
      </c>
      <c r="E21" s="109">
        <v>3</v>
      </c>
      <c r="F21" s="97" t="s">
        <v>88</v>
      </c>
      <c r="G21" s="109">
        <v>70</v>
      </c>
      <c r="H21" s="111" t="s">
        <v>13</v>
      </c>
      <c r="I21" s="112" t="s">
        <v>959</v>
      </c>
      <c r="J21" s="101" t="s">
        <v>832</v>
      </c>
    </row>
    <row r="22" customHeight="1" spans="1:10">
      <c r="A22" s="97">
        <v>15</v>
      </c>
      <c r="B22" s="97">
        <v>21</v>
      </c>
      <c r="C22" s="110">
        <v>45535</v>
      </c>
      <c r="D22" s="97" t="s">
        <v>87</v>
      </c>
      <c r="E22" s="109">
        <v>3</v>
      </c>
      <c r="F22" s="97" t="s">
        <v>88</v>
      </c>
      <c r="G22" s="109">
        <v>70</v>
      </c>
      <c r="H22" s="111" t="s">
        <v>49</v>
      </c>
      <c r="I22" s="112" t="s">
        <v>960</v>
      </c>
      <c r="J22" s="101" t="s">
        <v>832</v>
      </c>
    </row>
    <row r="23" customHeight="1" spans="1:10">
      <c r="A23" s="97">
        <v>15</v>
      </c>
      <c r="B23" s="97">
        <v>22</v>
      </c>
      <c r="C23" s="110">
        <v>45535</v>
      </c>
      <c r="D23" s="97" t="s">
        <v>87</v>
      </c>
      <c r="E23" s="109">
        <v>3</v>
      </c>
      <c r="F23" s="97" t="s">
        <v>88</v>
      </c>
      <c r="G23" s="109">
        <v>60</v>
      </c>
      <c r="H23" s="111" t="s">
        <v>53</v>
      </c>
      <c r="I23" s="112" t="s">
        <v>961</v>
      </c>
      <c r="J23" s="101" t="s">
        <v>832</v>
      </c>
    </row>
    <row r="24" ht="57" customHeight="1" spans="1:10">
      <c r="A24" s="97">
        <v>16</v>
      </c>
      <c r="B24" s="97">
        <v>23</v>
      </c>
      <c r="C24" s="110">
        <v>45535</v>
      </c>
      <c r="D24" s="97" t="s">
        <v>87</v>
      </c>
      <c r="E24" s="109">
        <v>3</v>
      </c>
      <c r="F24" s="97" t="s">
        <v>92</v>
      </c>
      <c r="G24" s="109">
        <v>255</v>
      </c>
      <c r="H24" s="111" t="s">
        <v>58</v>
      </c>
      <c r="I24" s="113" t="s">
        <v>962</v>
      </c>
      <c r="J24" s="101" t="s">
        <v>840</v>
      </c>
    </row>
    <row r="25" ht="57" customHeight="1" spans="1:10">
      <c r="A25" s="97">
        <v>17</v>
      </c>
      <c r="B25" s="97">
        <v>24</v>
      </c>
      <c r="C25" s="110">
        <v>45535</v>
      </c>
      <c r="D25" s="97" t="s">
        <v>87</v>
      </c>
      <c r="E25" s="109">
        <v>3</v>
      </c>
      <c r="F25" s="97" t="s">
        <v>95</v>
      </c>
      <c r="G25" s="109">
        <v>112</v>
      </c>
      <c r="H25" s="111" t="s">
        <v>33</v>
      </c>
      <c r="I25" s="113" t="s">
        <v>963</v>
      </c>
      <c r="J25" s="101" t="s">
        <v>840</v>
      </c>
    </row>
    <row r="26" ht="57" customHeight="1" spans="1:10">
      <c r="A26" s="97">
        <v>18</v>
      </c>
      <c r="B26" s="97">
        <v>25</v>
      </c>
      <c r="C26" s="110">
        <v>45535</v>
      </c>
      <c r="D26" s="97" t="s">
        <v>87</v>
      </c>
      <c r="E26" s="109">
        <v>3</v>
      </c>
      <c r="F26" s="97" t="s">
        <v>964</v>
      </c>
      <c r="G26" s="109">
        <v>13</v>
      </c>
      <c r="H26" s="111" t="s">
        <v>33</v>
      </c>
      <c r="I26" s="113" t="s">
        <v>963</v>
      </c>
      <c r="J26" s="101" t="s">
        <v>841</v>
      </c>
    </row>
    <row r="27" ht="57" customHeight="1" spans="1:10">
      <c r="A27" s="97">
        <v>18</v>
      </c>
      <c r="B27" s="97">
        <v>26</v>
      </c>
      <c r="C27" s="110">
        <v>45535</v>
      </c>
      <c r="D27" s="97" t="s">
        <v>87</v>
      </c>
      <c r="E27" s="109">
        <v>3</v>
      </c>
      <c r="F27" s="97" t="s">
        <v>965</v>
      </c>
      <c r="G27" s="109">
        <v>33</v>
      </c>
      <c r="H27" s="111" t="s">
        <v>33</v>
      </c>
      <c r="I27" s="113" t="s">
        <v>963</v>
      </c>
      <c r="J27" s="101" t="s">
        <v>841</v>
      </c>
    </row>
    <row r="28" customHeight="1" spans="1:10">
      <c r="A28" s="97">
        <v>19</v>
      </c>
      <c r="B28" s="97">
        <v>27</v>
      </c>
      <c r="C28" s="110">
        <v>45535</v>
      </c>
      <c r="D28" s="97" t="s">
        <v>87</v>
      </c>
      <c r="E28" s="109">
        <v>3</v>
      </c>
      <c r="F28" s="97" t="s">
        <v>103</v>
      </c>
      <c r="G28" s="109">
        <v>24</v>
      </c>
      <c r="H28" s="111" t="s">
        <v>104</v>
      </c>
      <c r="I28" s="112" t="s">
        <v>966</v>
      </c>
      <c r="J28" s="97" t="s">
        <v>833</v>
      </c>
    </row>
    <row r="29" ht="57" customHeight="1" spans="1:10">
      <c r="A29" s="97">
        <v>20</v>
      </c>
      <c r="B29" s="97">
        <v>28</v>
      </c>
      <c r="C29" s="110">
        <v>45535</v>
      </c>
      <c r="D29" s="97" t="s">
        <v>87</v>
      </c>
      <c r="E29" s="109">
        <v>3</v>
      </c>
      <c r="F29" s="97" t="s">
        <v>107</v>
      </c>
      <c r="G29" s="109">
        <v>281</v>
      </c>
      <c r="H29" s="111" t="s">
        <v>39</v>
      </c>
      <c r="I29" s="113" t="s">
        <v>967</v>
      </c>
      <c r="J29" s="97" t="s">
        <v>842</v>
      </c>
    </row>
    <row r="30" customHeight="1" spans="1:10">
      <c r="A30" s="97">
        <v>21</v>
      </c>
      <c r="B30" s="97">
        <v>29</v>
      </c>
      <c r="C30" s="110">
        <v>45535</v>
      </c>
      <c r="D30" s="97" t="s">
        <v>87</v>
      </c>
      <c r="E30" s="109">
        <v>3</v>
      </c>
      <c r="F30" s="97" t="s">
        <v>111</v>
      </c>
      <c r="G30" s="109">
        <v>96</v>
      </c>
      <c r="H30" s="111" t="s">
        <v>77</v>
      </c>
      <c r="I30" s="112" t="s">
        <v>968</v>
      </c>
      <c r="J30" s="97" t="s">
        <v>843</v>
      </c>
    </row>
    <row r="31" customHeight="1" spans="1:10">
      <c r="A31" s="97">
        <v>22</v>
      </c>
      <c r="B31" s="97">
        <v>30</v>
      </c>
      <c r="C31" s="110">
        <v>45535</v>
      </c>
      <c r="D31" s="97" t="s">
        <v>87</v>
      </c>
      <c r="E31" s="109">
        <v>3</v>
      </c>
      <c r="F31" s="97" t="s">
        <v>67</v>
      </c>
      <c r="G31" s="109">
        <v>4</v>
      </c>
      <c r="H31" s="111" t="s">
        <v>68</v>
      </c>
      <c r="I31" s="112" t="s">
        <v>954</v>
      </c>
      <c r="J31" s="101" t="s">
        <v>836</v>
      </c>
    </row>
    <row r="32" customHeight="1" spans="1:10">
      <c r="A32" s="97">
        <v>22</v>
      </c>
      <c r="B32" s="97">
        <v>31</v>
      </c>
      <c r="C32" s="110">
        <v>45535</v>
      </c>
      <c r="D32" s="97" t="s">
        <v>87</v>
      </c>
      <c r="E32" s="109">
        <v>3</v>
      </c>
      <c r="F32" s="97" t="s">
        <v>71</v>
      </c>
      <c r="G32" s="109">
        <v>38</v>
      </c>
      <c r="H32" s="111" t="s">
        <v>68</v>
      </c>
      <c r="I32" s="112" t="s">
        <v>954</v>
      </c>
      <c r="J32" s="101" t="s">
        <v>836</v>
      </c>
    </row>
    <row r="33" ht="57" customHeight="1" spans="1:10">
      <c r="A33" s="97">
        <v>23</v>
      </c>
      <c r="B33" s="97">
        <v>32</v>
      </c>
      <c r="C33" s="110">
        <v>45535</v>
      </c>
      <c r="D33" s="97" t="s">
        <v>87</v>
      </c>
      <c r="E33" s="109">
        <v>3</v>
      </c>
      <c r="F33" s="97" t="s">
        <v>116</v>
      </c>
      <c r="G33" s="109">
        <v>89</v>
      </c>
      <c r="H33" s="111" t="s">
        <v>73</v>
      </c>
      <c r="I33" s="113" t="s">
        <v>969</v>
      </c>
      <c r="J33" s="101" t="s">
        <v>844</v>
      </c>
    </row>
    <row r="34" ht="57" customHeight="1" spans="1:10">
      <c r="A34" s="97">
        <v>23</v>
      </c>
      <c r="B34" s="97">
        <v>33</v>
      </c>
      <c r="C34" s="110">
        <v>45535</v>
      </c>
      <c r="D34" s="97" t="s">
        <v>87</v>
      </c>
      <c r="E34" s="109">
        <v>3</v>
      </c>
      <c r="F34" s="97" t="s">
        <v>120</v>
      </c>
      <c r="G34" s="109">
        <v>16</v>
      </c>
      <c r="H34" s="111" t="s">
        <v>73</v>
      </c>
      <c r="I34" s="113" t="s">
        <v>969</v>
      </c>
      <c r="J34" s="101" t="s">
        <v>844</v>
      </c>
    </row>
    <row r="35" ht="57" customHeight="1" spans="1:10">
      <c r="A35" s="97">
        <v>24</v>
      </c>
      <c r="B35" s="97">
        <v>34</v>
      </c>
      <c r="C35" s="110">
        <v>45535</v>
      </c>
      <c r="D35" s="97" t="s">
        <v>87</v>
      </c>
      <c r="E35" s="109">
        <v>3</v>
      </c>
      <c r="F35" s="97" t="s">
        <v>708</v>
      </c>
      <c r="G35" s="109">
        <v>57</v>
      </c>
      <c r="H35" s="111" t="s">
        <v>73</v>
      </c>
      <c r="I35" s="113" t="s">
        <v>969</v>
      </c>
      <c r="J35" s="97" t="s">
        <v>845</v>
      </c>
    </row>
    <row r="36" ht="57" customHeight="1" spans="1:10">
      <c r="A36" s="97">
        <v>25</v>
      </c>
      <c r="B36" s="97">
        <v>35</v>
      </c>
      <c r="C36" s="110">
        <v>45536</v>
      </c>
      <c r="D36" s="97" t="s">
        <v>11</v>
      </c>
      <c r="E36" s="109">
        <v>2</v>
      </c>
      <c r="F36" s="97" t="s">
        <v>709</v>
      </c>
      <c r="G36" s="109">
        <v>5</v>
      </c>
      <c r="H36" s="111" t="s">
        <v>33</v>
      </c>
      <c r="I36" s="113" t="s">
        <v>970</v>
      </c>
      <c r="J36" s="101" t="s">
        <v>846</v>
      </c>
    </row>
    <row r="37" ht="57" customHeight="1" spans="1:10">
      <c r="A37" s="97">
        <v>26</v>
      </c>
      <c r="B37" s="97">
        <v>36</v>
      </c>
      <c r="C37" s="110">
        <v>45536</v>
      </c>
      <c r="D37" s="97" t="s">
        <v>11</v>
      </c>
      <c r="E37" s="109">
        <v>2</v>
      </c>
      <c r="F37" s="97" t="s">
        <v>131</v>
      </c>
      <c r="G37" s="109">
        <v>95</v>
      </c>
      <c r="H37" s="111" t="s">
        <v>33</v>
      </c>
      <c r="I37" s="113" t="s">
        <v>970</v>
      </c>
      <c r="J37" s="97" t="s">
        <v>847</v>
      </c>
    </row>
    <row r="38" customHeight="1" spans="1:10">
      <c r="A38" s="97">
        <v>27</v>
      </c>
      <c r="B38" s="97">
        <v>37</v>
      </c>
      <c r="C38" s="110">
        <v>45536</v>
      </c>
      <c r="D38" s="97" t="s">
        <v>11</v>
      </c>
      <c r="E38" s="109">
        <v>2</v>
      </c>
      <c r="F38" s="97" t="s">
        <v>710</v>
      </c>
      <c r="G38" s="109">
        <v>20</v>
      </c>
      <c r="H38" s="111" t="s">
        <v>135</v>
      </c>
      <c r="I38" s="112" t="s">
        <v>971</v>
      </c>
      <c r="J38" s="97" t="s">
        <v>848</v>
      </c>
    </row>
    <row r="39" customHeight="1" spans="1:10">
      <c r="A39" s="97">
        <v>28</v>
      </c>
      <c r="B39" s="97">
        <v>38</v>
      </c>
      <c r="C39" s="110">
        <v>45536</v>
      </c>
      <c r="D39" s="97" t="s">
        <v>11</v>
      </c>
      <c r="E39" s="109">
        <v>2</v>
      </c>
      <c r="F39" s="97" t="s">
        <v>139</v>
      </c>
      <c r="G39" s="109">
        <v>30</v>
      </c>
      <c r="H39" s="111" t="s">
        <v>24</v>
      </c>
      <c r="I39" s="112" t="s">
        <v>972</v>
      </c>
      <c r="J39" s="101" t="s">
        <v>849</v>
      </c>
    </row>
    <row r="40" customHeight="1" spans="1:10">
      <c r="A40" s="97">
        <v>28</v>
      </c>
      <c r="B40" s="97">
        <v>39</v>
      </c>
      <c r="C40" s="110">
        <v>45536</v>
      </c>
      <c r="D40" s="97" t="s">
        <v>11</v>
      </c>
      <c r="E40" s="109">
        <v>2</v>
      </c>
      <c r="F40" s="97" t="s">
        <v>139</v>
      </c>
      <c r="G40" s="109">
        <v>70</v>
      </c>
      <c r="H40" s="111" t="s">
        <v>27</v>
      </c>
      <c r="I40" s="112" t="s">
        <v>144</v>
      </c>
      <c r="J40" s="101" t="s">
        <v>849</v>
      </c>
    </row>
    <row r="41" customHeight="1" spans="1:10">
      <c r="A41" s="97">
        <v>28</v>
      </c>
      <c r="B41" s="97">
        <v>40</v>
      </c>
      <c r="C41" s="110">
        <v>45536</v>
      </c>
      <c r="D41" s="97" t="s">
        <v>11</v>
      </c>
      <c r="E41" s="109">
        <v>2</v>
      </c>
      <c r="F41" s="97" t="s">
        <v>143</v>
      </c>
      <c r="G41" s="109">
        <v>7</v>
      </c>
      <c r="H41" s="111" t="s">
        <v>27</v>
      </c>
      <c r="I41" s="112" t="s">
        <v>144</v>
      </c>
      <c r="J41" s="101" t="s">
        <v>849</v>
      </c>
    </row>
    <row r="42" ht="57" customHeight="1" spans="1:10">
      <c r="A42" s="97">
        <v>29</v>
      </c>
      <c r="B42" s="97">
        <v>41</v>
      </c>
      <c r="C42" s="110">
        <v>45536</v>
      </c>
      <c r="D42" s="97" t="s">
        <v>31</v>
      </c>
      <c r="E42" s="109">
        <v>3</v>
      </c>
      <c r="F42" s="97" t="s">
        <v>145</v>
      </c>
      <c r="G42" s="109">
        <v>344</v>
      </c>
      <c r="H42" s="111" t="s">
        <v>44</v>
      </c>
      <c r="I42" s="113" t="s">
        <v>973</v>
      </c>
      <c r="J42" s="101" t="s">
        <v>850</v>
      </c>
    </row>
    <row r="43" ht="57" customHeight="1" spans="1:10">
      <c r="A43" s="97">
        <v>29</v>
      </c>
      <c r="B43" s="97">
        <v>42</v>
      </c>
      <c r="C43" s="110">
        <v>45536</v>
      </c>
      <c r="D43" s="97" t="s">
        <v>31</v>
      </c>
      <c r="E43" s="109">
        <v>3</v>
      </c>
      <c r="F43" s="97" t="s">
        <v>148</v>
      </c>
      <c r="G43" s="109">
        <v>38</v>
      </c>
      <c r="H43" s="111" t="s">
        <v>44</v>
      </c>
      <c r="I43" s="113" t="s">
        <v>973</v>
      </c>
      <c r="J43" s="101" t="s">
        <v>850</v>
      </c>
    </row>
    <row r="44" customHeight="1" spans="1:10">
      <c r="A44" s="97">
        <v>30</v>
      </c>
      <c r="B44" s="97">
        <v>43</v>
      </c>
      <c r="C44" s="110">
        <v>45536</v>
      </c>
      <c r="D44" s="97" t="s">
        <v>31</v>
      </c>
      <c r="E44" s="109">
        <v>3</v>
      </c>
      <c r="F44" s="97" t="s">
        <v>149</v>
      </c>
      <c r="G44" s="109">
        <v>44</v>
      </c>
      <c r="H44" s="111" t="s">
        <v>13</v>
      </c>
      <c r="I44" s="112" t="s">
        <v>974</v>
      </c>
      <c r="J44" s="101" t="s">
        <v>830</v>
      </c>
    </row>
    <row r="45" ht="57" customHeight="1" spans="1:10">
      <c r="A45" s="97">
        <v>31</v>
      </c>
      <c r="B45" s="97">
        <v>44</v>
      </c>
      <c r="C45" s="110">
        <v>45536</v>
      </c>
      <c r="D45" s="97" t="s">
        <v>31</v>
      </c>
      <c r="E45" s="109">
        <v>3</v>
      </c>
      <c r="F45" s="97" t="s">
        <v>714</v>
      </c>
      <c r="G45" s="109">
        <v>19</v>
      </c>
      <c r="H45" s="111" t="s">
        <v>73</v>
      </c>
      <c r="I45" s="113" t="s">
        <v>975</v>
      </c>
      <c r="J45" s="97" t="s">
        <v>851</v>
      </c>
    </row>
    <row r="46" ht="57" customHeight="1" spans="1:10">
      <c r="A46" s="97">
        <v>32</v>
      </c>
      <c r="B46" s="97">
        <v>45</v>
      </c>
      <c r="C46" s="110">
        <v>45536</v>
      </c>
      <c r="D46" s="97" t="s">
        <v>31</v>
      </c>
      <c r="E46" s="109">
        <v>3</v>
      </c>
      <c r="F46" s="97" t="s">
        <v>156</v>
      </c>
      <c r="G46" s="109">
        <v>83</v>
      </c>
      <c r="H46" s="111" t="s">
        <v>73</v>
      </c>
      <c r="I46" s="113" t="s">
        <v>975</v>
      </c>
      <c r="J46" s="101" t="s">
        <v>852</v>
      </c>
    </row>
    <row r="47" customHeight="1" spans="1:10">
      <c r="A47" s="97">
        <v>33</v>
      </c>
      <c r="B47" s="97">
        <v>46</v>
      </c>
      <c r="C47" s="110">
        <v>45536</v>
      </c>
      <c r="D47" s="97" t="s">
        <v>31</v>
      </c>
      <c r="E47" s="109">
        <v>3</v>
      </c>
      <c r="F47" s="97" t="s">
        <v>159</v>
      </c>
      <c r="G47" s="109">
        <v>75</v>
      </c>
      <c r="H47" s="111" t="s">
        <v>68</v>
      </c>
      <c r="I47" s="112" t="s">
        <v>976</v>
      </c>
      <c r="J47" s="101" t="s">
        <v>853</v>
      </c>
    </row>
    <row r="48" customHeight="1" spans="1:10">
      <c r="A48" s="97">
        <v>34</v>
      </c>
      <c r="B48" s="97">
        <v>47</v>
      </c>
      <c r="C48" s="110">
        <v>45536</v>
      </c>
      <c r="D48" s="97" t="s">
        <v>31</v>
      </c>
      <c r="E48" s="109">
        <v>3</v>
      </c>
      <c r="F48" s="97" t="s">
        <v>162</v>
      </c>
      <c r="G48" s="109">
        <v>8</v>
      </c>
      <c r="H48" s="111" t="s">
        <v>163</v>
      </c>
      <c r="I48" s="112" t="s">
        <v>977</v>
      </c>
      <c r="J48" s="97" t="s">
        <v>854</v>
      </c>
    </row>
    <row r="49" ht="57" customHeight="1" spans="1:10">
      <c r="A49" s="97">
        <v>35</v>
      </c>
      <c r="B49" s="97">
        <v>48</v>
      </c>
      <c r="C49" s="110">
        <v>45536</v>
      </c>
      <c r="D49" s="97" t="s">
        <v>31</v>
      </c>
      <c r="E49" s="109">
        <v>3</v>
      </c>
      <c r="F49" s="97" t="s">
        <v>717</v>
      </c>
      <c r="G49" s="109">
        <v>47</v>
      </c>
      <c r="H49" s="111" t="s">
        <v>39</v>
      </c>
      <c r="I49" s="113" t="s">
        <v>978</v>
      </c>
      <c r="J49" s="101" t="s">
        <v>855</v>
      </c>
    </row>
    <row r="50" ht="57" customHeight="1" spans="1:10">
      <c r="A50" s="97">
        <v>36</v>
      </c>
      <c r="B50" s="97">
        <v>49</v>
      </c>
      <c r="C50" s="110">
        <v>45536</v>
      </c>
      <c r="D50" s="97" t="s">
        <v>31</v>
      </c>
      <c r="E50" s="109">
        <v>3</v>
      </c>
      <c r="F50" s="97" t="s">
        <v>171</v>
      </c>
      <c r="G50" s="109">
        <v>107</v>
      </c>
      <c r="H50" s="111" t="s">
        <v>39</v>
      </c>
      <c r="I50" s="113" t="s">
        <v>978</v>
      </c>
      <c r="J50" s="97" t="s">
        <v>856</v>
      </c>
    </row>
    <row r="51" customHeight="1" spans="1:10">
      <c r="A51" s="97">
        <v>37</v>
      </c>
      <c r="B51" s="97">
        <v>50</v>
      </c>
      <c r="C51" s="110">
        <v>45536</v>
      </c>
      <c r="D51" s="97" t="s">
        <v>31</v>
      </c>
      <c r="E51" s="109">
        <v>3</v>
      </c>
      <c r="F51" s="97" t="s">
        <v>979</v>
      </c>
      <c r="G51" s="109">
        <v>4</v>
      </c>
      <c r="H51" s="111" t="s">
        <v>176</v>
      </c>
      <c r="I51" s="112" t="s">
        <v>177</v>
      </c>
      <c r="J51" s="101" t="s">
        <v>858</v>
      </c>
    </row>
    <row r="52" ht="57" customHeight="1" spans="1:10">
      <c r="A52" s="97">
        <v>38</v>
      </c>
      <c r="B52" s="97">
        <v>51</v>
      </c>
      <c r="C52" s="110">
        <v>45536</v>
      </c>
      <c r="D52" s="97" t="s">
        <v>80</v>
      </c>
      <c r="E52" s="109">
        <v>2</v>
      </c>
      <c r="F52" s="97" t="s">
        <v>180</v>
      </c>
      <c r="G52" s="109">
        <v>414</v>
      </c>
      <c r="H52" s="111" t="s">
        <v>44</v>
      </c>
      <c r="I52" s="113" t="s">
        <v>980</v>
      </c>
      <c r="J52" s="97" t="s">
        <v>848</v>
      </c>
    </row>
    <row r="53" customHeight="1" spans="1:10">
      <c r="A53" s="97">
        <v>39</v>
      </c>
      <c r="B53" s="97">
        <v>52</v>
      </c>
      <c r="C53" s="110">
        <v>45536</v>
      </c>
      <c r="D53" s="97" t="s">
        <v>80</v>
      </c>
      <c r="E53" s="109">
        <v>2</v>
      </c>
      <c r="F53" s="97" t="s">
        <v>183</v>
      </c>
      <c r="G53" s="109">
        <v>21</v>
      </c>
      <c r="H53" s="111" t="s">
        <v>13</v>
      </c>
      <c r="I53" s="112" t="s">
        <v>981</v>
      </c>
      <c r="J53" s="101" t="s">
        <v>859</v>
      </c>
    </row>
    <row r="54" customHeight="1" spans="1:10">
      <c r="A54" s="97">
        <v>40</v>
      </c>
      <c r="B54" s="97">
        <v>53</v>
      </c>
      <c r="C54" s="110">
        <v>45536</v>
      </c>
      <c r="D54" s="97" t="s">
        <v>87</v>
      </c>
      <c r="E54" s="109">
        <v>3</v>
      </c>
      <c r="F54" s="97" t="s">
        <v>719</v>
      </c>
      <c r="G54" s="109">
        <v>5</v>
      </c>
      <c r="H54" s="111" t="s">
        <v>49</v>
      </c>
      <c r="I54" s="112" t="s">
        <v>982</v>
      </c>
      <c r="J54" s="101" t="s">
        <v>846</v>
      </c>
    </row>
    <row r="55" customHeight="1" spans="1:10">
      <c r="A55" s="97">
        <v>41</v>
      </c>
      <c r="B55" s="97">
        <v>54</v>
      </c>
      <c r="C55" s="110">
        <v>45536</v>
      </c>
      <c r="D55" s="97" t="s">
        <v>87</v>
      </c>
      <c r="E55" s="109">
        <v>3</v>
      </c>
      <c r="F55" s="97" t="s">
        <v>188</v>
      </c>
      <c r="G55" s="109">
        <v>57</v>
      </c>
      <c r="H55" s="111" t="s">
        <v>49</v>
      </c>
      <c r="I55" s="112" t="s">
        <v>982</v>
      </c>
      <c r="J55" s="97" t="s">
        <v>860</v>
      </c>
    </row>
    <row r="56" customHeight="1" spans="1:10">
      <c r="A56" s="97">
        <v>42</v>
      </c>
      <c r="B56" s="97">
        <v>55</v>
      </c>
      <c r="C56" s="110">
        <v>45536</v>
      </c>
      <c r="D56" s="97" t="s">
        <v>87</v>
      </c>
      <c r="E56" s="109">
        <v>3</v>
      </c>
      <c r="F56" s="97" t="s">
        <v>191</v>
      </c>
      <c r="G56" s="109">
        <v>45</v>
      </c>
      <c r="H56" s="111" t="s">
        <v>53</v>
      </c>
      <c r="I56" s="112" t="s">
        <v>983</v>
      </c>
      <c r="J56" s="101" t="s">
        <v>861</v>
      </c>
    </row>
    <row r="57" customHeight="1" spans="1:10">
      <c r="A57" s="97">
        <v>43</v>
      </c>
      <c r="B57" s="97">
        <v>56</v>
      </c>
      <c r="C57" s="110">
        <v>45536</v>
      </c>
      <c r="D57" s="97" t="s">
        <v>87</v>
      </c>
      <c r="E57" s="109">
        <v>3</v>
      </c>
      <c r="F57" s="97" t="s">
        <v>194</v>
      </c>
      <c r="G57" s="109">
        <v>75</v>
      </c>
      <c r="H57" s="111" t="s">
        <v>27</v>
      </c>
      <c r="I57" s="112" t="s">
        <v>984</v>
      </c>
      <c r="J57" s="101" t="s">
        <v>862</v>
      </c>
    </row>
    <row r="58" ht="57" customHeight="1" spans="1:10">
      <c r="A58" s="97">
        <v>44</v>
      </c>
      <c r="B58" s="97">
        <v>57</v>
      </c>
      <c r="C58" s="110">
        <v>45536</v>
      </c>
      <c r="D58" s="97" t="s">
        <v>87</v>
      </c>
      <c r="E58" s="109">
        <v>3</v>
      </c>
      <c r="F58" s="97" t="s">
        <v>23</v>
      </c>
      <c r="G58" s="109">
        <v>75</v>
      </c>
      <c r="H58" s="111" t="s">
        <v>73</v>
      </c>
      <c r="I58" s="113" t="s">
        <v>985</v>
      </c>
      <c r="J58" s="101" t="s">
        <v>829</v>
      </c>
    </row>
    <row r="59" ht="57" customHeight="1" spans="1:10">
      <c r="A59" s="97">
        <v>44</v>
      </c>
      <c r="B59" s="97">
        <v>58</v>
      </c>
      <c r="C59" s="110">
        <v>45536</v>
      </c>
      <c r="D59" s="97" t="s">
        <v>87</v>
      </c>
      <c r="E59" s="109">
        <v>3</v>
      </c>
      <c r="F59" s="97" t="s">
        <v>29</v>
      </c>
      <c r="G59" s="109">
        <v>17</v>
      </c>
      <c r="H59" s="111" t="s">
        <v>73</v>
      </c>
      <c r="I59" s="113" t="s">
        <v>985</v>
      </c>
      <c r="J59" s="101" t="s">
        <v>829</v>
      </c>
    </row>
    <row r="60" ht="57" customHeight="1" spans="1:10">
      <c r="A60" s="97">
        <v>44</v>
      </c>
      <c r="B60" s="97">
        <v>59</v>
      </c>
      <c r="C60" s="110">
        <v>45536</v>
      </c>
      <c r="D60" s="97" t="s">
        <v>87</v>
      </c>
      <c r="E60" s="109">
        <v>3</v>
      </c>
      <c r="F60" s="97" t="s">
        <v>30</v>
      </c>
      <c r="G60" s="109">
        <v>42</v>
      </c>
      <c r="H60" s="111" t="s">
        <v>73</v>
      </c>
      <c r="I60" s="113" t="s">
        <v>985</v>
      </c>
      <c r="J60" s="101" t="s">
        <v>829</v>
      </c>
    </row>
    <row r="61" ht="57" customHeight="1" spans="1:10">
      <c r="A61" s="97">
        <v>45</v>
      </c>
      <c r="B61" s="97">
        <v>60</v>
      </c>
      <c r="C61" s="110">
        <v>45536</v>
      </c>
      <c r="D61" s="97" t="s">
        <v>87</v>
      </c>
      <c r="E61" s="109">
        <v>3</v>
      </c>
      <c r="F61" s="97" t="s">
        <v>986</v>
      </c>
      <c r="G61" s="109">
        <v>100</v>
      </c>
      <c r="H61" s="111" t="s">
        <v>39</v>
      </c>
      <c r="I61" s="113" t="s">
        <v>987</v>
      </c>
      <c r="J61" s="101" t="s">
        <v>849</v>
      </c>
    </row>
    <row r="62" ht="57" customHeight="1" spans="1:10">
      <c r="A62" s="97">
        <v>45</v>
      </c>
      <c r="B62" s="97">
        <v>61</v>
      </c>
      <c r="C62" s="110">
        <v>45536</v>
      </c>
      <c r="D62" s="97" t="s">
        <v>87</v>
      </c>
      <c r="E62" s="109">
        <v>3</v>
      </c>
      <c r="F62" s="97" t="s">
        <v>988</v>
      </c>
      <c r="G62" s="109">
        <v>7</v>
      </c>
      <c r="H62" s="111" t="s">
        <v>39</v>
      </c>
      <c r="I62" s="113" t="s">
        <v>987</v>
      </c>
      <c r="J62" s="101" t="s">
        <v>849</v>
      </c>
    </row>
    <row r="63" ht="57" customHeight="1" spans="1:10">
      <c r="A63" s="97">
        <v>46</v>
      </c>
      <c r="B63" s="97">
        <v>62</v>
      </c>
      <c r="C63" s="110">
        <v>45536</v>
      </c>
      <c r="D63" s="97" t="s">
        <v>87</v>
      </c>
      <c r="E63" s="109">
        <v>3</v>
      </c>
      <c r="F63" s="97" t="s">
        <v>202</v>
      </c>
      <c r="G63" s="109">
        <v>81</v>
      </c>
      <c r="H63" s="111" t="s">
        <v>39</v>
      </c>
      <c r="I63" s="113" t="s">
        <v>987</v>
      </c>
      <c r="J63" s="101" t="s">
        <v>863</v>
      </c>
    </row>
    <row r="64" ht="57" customHeight="1" spans="1:10">
      <c r="A64" s="97">
        <v>46</v>
      </c>
      <c r="B64" s="97">
        <v>63</v>
      </c>
      <c r="C64" s="110">
        <v>45536</v>
      </c>
      <c r="D64" s="97" t="s">
        <v>87</v>
      </c>
      <c r="E64" s="109">
        <v>3</v>
      </c>
      <c r="F64" s="97" t="s">
        <v>205</v>
      </c>
      <c r="G64" s="109">
        <v>26</v>
      </c>
      <c r="H64" s="111" t="s">
        <v>39</v>
      </c>
      <c r="I64" s="113" t="s">
        <v>987</v>
      </c>
      <c r="J64" s="101" t="s">
        <v>863</v>
      </c>
    </row>
    <row r="65" customHeight="1" spans="1:10">
      <c r="A65" s="97">
        <v>47</v>
      </c>
      <c r="B65" s="97">
        <v>64</v>
      </c>
      <c r="C65" s="110">
        <v>45536</v>
      </c>
      <c r="D65" s="97" t="s">
        <v>87</v>
      </c>
      <c r="E65" s="109">
        <v>3</v>
      </c>
      <c r="F65" s="97" t="s">
        <v>989</v>
      </c>
      <c r="G65" s="97">
        <v>4</v>
      </c>
      <c r="H65" s="114" t="s">
        <v>207</v>
      </c>
      <c r="I65" s="112" t="s">
        <v>208</v>
      </c>
      <c r="J65" s="101" t="s">
        <v>865</v>
      </c>
    </row>
    <row r="66" customHeight="1" spans="1:10">
      <c r="A66" s="97">
        <v>48</v>
      </c>
      <c r="B66" s="97">
        <v>65</v>
      </c>
      <c r="C66" s="110">
        <v>45537</v>
      </c>
      <c r="D66" s="97" t="s">
        <v>11</v>
      </c>
      <c r="E66" s="109">
        <v>2</v>
      </c>
      <c r="F66" s="97" t="s">
        <v>725</v>
      </c>
      <c r="G66" s="109">
        <v>73</v>
      </c>
      <c r="H66" s="111" t="s">
        <v>27</v>
      </c>
      <c r="I66" s="112" t="s">
        <v>990</v>
      </c>
      <c r="J66" s="101" t="s">
        <v>866</v>
      </c>
    </row>
    <row r="67" customHeight="1" spans="1:10">
      <c r="A67" s="97">
        <v>49</v>
      </c>
      <c r="B67" s="97">
        <v>66</v>
      </c>
      <c r="C67" s="110">
        <v>45537</v>
      </c>
      <c r="D67" s="97" t="s">
        <v>11</v>
      </c>
      <c r="E67" s="109">
        <v>2</v>
      </c>
      <c r="F67" s="97" t="s">
        <v>215</v>
      </c>
      <c r="G67" s="109">
        <v>89</v>
      </c>
      <c r="H67" s="111" t="s">
        <v>77</v>
      </c>
      <c r="I67" s="112" t="s">
        <v>991</v>
      </c>
      <c r="J67" s="97" t="s">
        <v>844</v>
      </c>
    </row>
    <row r="68" ht="57" customHeight="1" spans="1:10">
      <c r="A68" s="97">
        <v>50</v>
      </c>
      <c r="B68" s="97">
        <v>67</v>
      </c>
      <c r="C68" s="110">
        <v>45537</v>
      </c>
      <c r="D68" s="97" t="s">
        <v>31</v>
      </c>
      <c r="E68" s="109">
        <v>3</v>
      </c>
      <c r="F68" s="97" t="s">
        <v>218</v>
      </c>
      <c r="G68" s="109">
        <v>414</v>
      </c>
      <c r="H68" s="111" t="s">
        <v>44</v>
      </c>
      <c r="I68" s="113" t="s">
        <v>992</v>
      </c>
      <c r="J68" s="97" t="s">
        <v>867</v>
      </c>
    </row>
    <row r="69" ht="57" customHeight="1" spans="1:10">
      <c r="A69" s="97">
        <v>50</v>
      </c>
      <c r="B69" s="97">
        <v>68</v>
      </c>
      <c r="C69" s="110">
        <v>45537</v>
      </c>
      <c r="D69" s="97" t="s">
        <v>31</v>
      </c>
      <c r="E69" s="109">
        <v>3</v>
      </c>
      <c r="F69" s="97" t="s">
        <v>218</v>
      </c>
      <c r="G69" s="109">
        <v>266</v>
      </c>
      <c r="H69" s="111" t="s">
        <v>58</v>
      </c>
      <c r="I69" s="113" t="s">
        <v>993</v>
      </c>
      <c r="J69" s="97" t="s">
        <v>867</v>
      </c>
    </row>
    <row r="70" ht="57" customHeight="1" spans="1:10">
      <c r="A70" s="97">
        <v>50</v>
      </c>
      <c r="B70" s="97">
        <v>69</v>
      </c>
      <c r="C70" s="110">
        <v>45537</v>
      </c>
      <c r="D70" s="97" t="s">
        <v>31</v>
      </c>
      <c r="E70" s="109">
        <v>3</v>
      </c>
      <c r="F70" s="97" t="s">
        <v>218</v>
      </c>
      <c r="G70" s="109">
        <v>104</v>
      </c>
      <c r="H70" s="111" t="s">
        <v>33</v>
      </c>
      <c r="I70" s="113" t="s">
        <v>994</v>
      </c>
      <c r="J70" s="97" t="s">
        <v>867</v>
      </c>
    </row>
    <row r="71" ht="57" customHeight="1" spans="1:10">
      <c r="A71" s="97">
        <v>51</v>
      </c>
      <c r="B71" s="97">
        <v>70</v>
      </c>
      <c r="C71" s="110">
        <v>45537</v>
      </c>
      <c r="D71" s="97" t="s">
        <v>31</v>
      </c>
      <c r="E71" s="109">
        <v>3</v>
      </c>
      <c r="F71" s="97" t="s">
        <v>224</v>
      </c>
      <c r="G71" s="109">
        <v>115</v>
      </c>
      <c r="H71" s="111" t="s">
        <v>73</v>
      </c>
      <c r="I71" s="113" t="s">
        <v>995</v>
      </c>
      <c r="J71" s="97" t="s">
        <v>867</v>
      </c>
    </row>
    <row r="72" ht="57" customHeight="1" spans="1:10">
      <c r="A72" s="97">
        <v>52</v>
      </c>
      <c r="B72" s="97">
        <v>71</v>
      </c>
      <c r="C72" s="110">
        <v>45537</v>
      </c>
      <c r="D72" s="97" t="s">
        <v>31</v>
      </c>
      <c r="E72" s="109">
        <v>3</v>
      </c>
      <c r="F72" s="97" t="s">
        <v>726</v>
      </c>
      <c r="G72" s="109">
        <v>42</v>
      </c>
      <c r="H72" s="111" t="s">
        <v>73</v>
      </c>
      <c r="I72" s="113" t="s">
        <v>995</v>
      </c>
      <c r="J72" s="97" t="s">
        <v>227</v>
      </c>
    </row>
    <row r="73" customHeight="1" spans="1:10">
      <c r="A73" s="97">
        <v>53</v>
      </c>
      <c r="B73" s="97">
        <v>72</v>
      </c>
      <c r="C73" s="110">
        <v>45537</v>
      </c>
      <c r="D73" s="97" t="s">
        <v>31</v>
      </c>
      <c r="E73" s="109">
        <v>3</v>
      </c>
      <c r="F73" s="97" t="s">
        <v>211</v>
      </c>
      <c r="G73" s="109">
        <v>70</v>
      </c>
      <c r="H73" s="111" t="s">
        <v>49</v>
      </c>
      <c r="I73" s="112" t="s">
        <v>996</v>
      </c>
      <c r="J73" s="101" t="s">
        <v>868</v>
      </c>
    </row>
    <row r="74" customHeight="1" spans="1:10">
      <c r="A74" s="97">
        <v>53</v>
      </c>
      <c r="B74" s="97">
        <v>73</v>
      </c>
      <c r="C74" s="110">
        <v>45537</v>
      </c>
      <c r="D74" s="97" t="s">
        <v>31</v>
      </c>
      <c r="E74" s="109">
        <v>3</v>
      </c>
      <c r="F74" s="97" t="s">
        <v>211</v>
      </c>
      <c r="G74" s="109">
        <v>43</v>
      </c>
      <c r="H74" s="111" t="s">
        <v>53</v>
      </c>
      <c r="I74" s="112" t="s">
        <v>997</v>
      </c>
      <c r="J74" s="101" t="s">
        <v>868</v>
      </c>
    </row>
    <row r="75" customHeight="1" spans="1:10">
      <c r="A75" s="97">
        <v>54</v>
      </c>
      <c r="B75" s="97">
        <v>74</v>
      </c>
      <c r="C75" s="110">
        <v>45537</v>
      </c>
      <c r="D75" s="97" t="s">
        <v>31</v>
      </c>
      <c r="E75" s="109">
        <v>3</v>
      </c>
      <c r="F75" s="97" t="s">
        <v>727</v>
      </c>
      <c r="G75" s="109">
        <v>3</v>
      </c>
      <c r="H75" s="111" t="s">
        <v>53</v>
      </c>
      <c r="I75" s="112" t="s">
        <v>997</v>
      </c>
      <c r="J75" s="101" t="s">
        <v>869</v>
      </c>
    </row>
    <row r="76" customHeight="1" spans="1:10">
      <c r="A76" s="97">
        <v>55</v>
      </c>
      <c r="B76" s="97">
        <v>75</v>
      </c>
      <c r="C76" s="110">
        <v>45537</v>
      </c>
      <c r="D76" s="97" t="s">
        <v>31</v>
      </c>
      <c r="E76" s="109">
        <v>3</v>
      </c>
      <c r="F76" s="97" t="s">
        <v>235</v>
      </c>
      <c r="G76" s="109">
        <v>37</v>
      </c>
      <c r="H76" s="111" t="s">
        <v>24</v>
      </c>
      <c r="I76" s="112" t="s">
        <v>998</v>
      </c>
      <c r="J76" s="101" t="s">
        <v>870</v>
      </c>
    </row>
    <row r="77" customHeight="1" spans="1:10">
      <c r="A77" s="97">
        <v>56</v>
      </c>
      <c r="B77" s="97">
        <v>76</v>
      </c>
      <c r="C77" s="110">
        <v>45537</v>
      </c>
      <c r="D77" s="97" t="s">
        <v>31</v>
      </c>
      <c r="E77" s="109">
        <v>3</v>
      </c>
      <c r="F77" s="97" t="s">
        <v>238</v>
      </c>
      <c r="G77" s="109">
        <v>66</v>
      </c>
      <c r="H77" s="111" t="s">
        <v>135</v>
      </c>
      <c r="I77" s="112" t="s">
        <v>999</v>
      </c>
      <c r="J77" s="101" t="s">
        <v>871</v>
      </c>
    </row>
    <row r="78" customHeight="1" spans="1:10">
      <c r="A78" s="97">
        <v>56</v>
      </c>
      <c r="B78" s="97">
        <v>77</v>
      </c>
      <c r="C78" s="110">
        <v>45537</v>
      </c>
      <c r="D78" s="97" t="s">
        <v>31</v>
      </c>
      <c r="E78" s="109">
        <v>3</v>
      </c>
      <c r="F78" s="97" t="s">
        <v>241</v>
      </c>
      <c r="G78" s="109">
        <v>1</v>
      </c>
      <c r="H78" s="111" t="s">
        <v>135</v>
      </c>
      <c r="I78" s="112" t="s">
        <v>999</v>
      </c>
      <c r="J78" s="101" t="s">
        <v>871</v>
      </c>
    </row>
    <row r="79" customHeight="1" spans="1:10">
      <c r="A79" s="97">
        <v>57</v>
      </c>
      <c r="B79" s="97">
        <v>78</v>
      </c>
      <c r="C79" s="110">
        <v>45537</v>
      </c>
      <c r="D79" s="97" t="s">
        <v>31</v>
      </c>
      <c r="E79" s="109">
        <v>3</v>
      </c>
      <c r="F79" s="97" t="s">
        <v>242</v>
      </c>
      <c r="G79" s="109">
        <v>50</v>
      </c>
      <c r="H79" s="111" t="s">
        <v>104</v>
      </c>
      <c r="I79" s="112" t="s">
        <v>1000</v>
      </c>
      <c r="J79" s="101" t="s">
        <v>872</v>
      </c>
    </row>
    <row r="80" customHeight="1" spans="1:10">
      <c r="A80" s="97">
        <v>57</v>
      </c>
      <c r="B80" s="97">
        <v>79</v>
      </c>
      <c r="C80" s="110">
        <v>45537</v>
      </c>
      <c r="D80" s="97" t="s">
        <v>31</v>
      </c>
      <c r="E80" s="109">
        <v>3</v>
      </c>
      <c r="F80" s="97" t="s">
        <v>245</v>
      </c>
      <c r="G80" s="109">
        <v>74</v>
      </c>
      <c r="H80" s="111" t="s">
        <v>246</v>
      </c>
      <c r="I80" s="112" t="s">
        <v>1001</v>
      </c>
      <c r="J80" s="101" t="s">
        <v>872</v>
      </c>
    </row>
    <row r="81" ht="57" customHeight="1" spans="1:10">
      <c r="A81" s="97">
        <v>58</v>
      </c>
      <c r="B81" s="97">
        <v>80</v>
      </c>
      <c r="C81" s="110">
        <v>45537</v>
      </c>
      <c r="D81" s="97" t="s">
        <v>31</v>
      </c>
      <c r="E81" s="109">
        <v>3</v>
      </c>
      <c r="F81" s="97" t="s">
        <v>730</v>
      </c>
      <c r="G81" s="109">
        <v>7</v>
      </c>
      <c r="H81" s="111" t="s">
        <v>39</v>
      </c>
      <c r="I81" s="113" t="s">
        <v>1002</v>
      </c>
      <c r="J81" s="97" t="s">
        <v>873</v>
      </c>
    </row>
    <row r="82" ht="57" customHeight="1" spans="1:10">
      <c r="A82" s="97">
        <v>59</v>
      </c>
      <c r="B82" s="97">
        <v>81</v>
      </c>
      <c r="C82" s="110">
        <v>45537</v>
      </c>
      <c r="D82" s="97" t="s">
        <v>31</v>
      </c>
      <c r="E82" s="109">
        <v>3</v>
      </c>
      <c r="F82" s="97" t="s">
        <v>253</v>
      </c>
      <c r="G82" s="109">
        <v>237</v>
      </c>
      <c r="H82" s="111" t="s">
        <v>39</v>
      </c>
      <c r="I82" s="113" t="s">
        <v>1002</v>
      </c>
      <c r="J82" s="97" t="s">
        <v>874</v>
      </c>
    </row>
    <row r="83" ht="57" customHeight="1" spans="1:10">
      <c r="A83" s="97">
        <v>60</v>
      </c>
      <c r="B83" s="97">
        <v>82</v>
      </c>
      <c r="C83" s="110">
        <v>45537</v>
      </c>
      <c r="D83" s="97" t="s">
        <v>31</v>
      </c>
      <c r="E83" s="109">
        <v>3</v>
      </c>
      <c r="F83" s="97" t="s">
        <v>732</v>
      </c>
      <c r="G83" s="109">
        <v>14</v>
      </c>
      <c r="H83" s="111" t="s">
        <v>39</v>
      </c>
      <c r="I83" s="113" t="s">
        <v>1002</v>
      </c>
      <c r="J83" s="97" t="s">
        <v>875</v>
      </c>
    </row>
    <row r="84" customHeight="1" spans="1:10">
      <c r="A84" s="97">
        <v>61</v>
      </c>
      <c r="B84" s="97">
        <v>83</v>
      </c>
      <c r="C84" s="110">
        <v>45537</v>
      </c>
      <c r="D84" s="97" t="s">
        <v>31</v>
      </c>
      <c r="E84" s="109">
        <v>3</v>
      </c>
      <c r="F84" s="97" t="s">
        <v>261</v>
      </c>
      <c r="G84" s="109">
        <v>16</v>
      </c>
      <c r="H84" s="111" t="s">
        <v>104</v>
      </c>
      <c r="I84" s="112" t="s">
        <v>1000</v>
      </c>
      <c r="J84" s="101" t="s">
        <v>872</v>
      </c>
    </row>
    <row r="85" customHeight="1" spans="1:10">
      <c r="A85" s="97">
        <v>62</v>
      </c>
      <c r="B85" s="97">
        <v>84</v>
      </c>
      <c r="C85" s="110">
        <v>45537</v>
      </c>
      <c r="D85" s="97" t="s">
        <v>31</v>
      </c>
      <c r="E85" s="109">
        <v>3</v>
      </c>
      <c r="F85" s="97" t="s">
        <v>262</v>
      </c>
      <c r="G85" s="109">
        <v>70</v>
      </c>
      <c r="H85" s="111" t="s">
        <v>63</v>
      </c>
      <c r="I85" s="112" t="s">
        <v>1003</v>
      </c>
      <c r="J85" s="97" t="s">
        <v>876</v>
      </c>
    </row>
    <row r="86" customHeight="1" spans="1:10">
      <c r="A86" s="97">
        <v>62</v>
      </c>
      <c r="B86" s="97">
        <v>85</v>
      </c>
      <c r="C86" s="110">
        <v>45537</v>
      </c>
      <c r="D86" s="97" t="s">
        <v>31</v>
      </c>
      <c r="E86" s="109">
        <v>3</v>
      </c>
      <c r="F86" s="97" t="s">
        <v>262</v>
      </c>
      <c r="G86" s="109">
        <v>21</v>
      </c>
      <c r="H86" s="111" t="s">
        <v>53</v>
      </c>
      <c r="I86" s="112" t="s">
        <v>997</v>
      </c>
      <c r="J86" s="97" t="s">
        <v>876</v>
      </c>
    </row>
    <row r="87" customHeight="1" spans="1:10">
      <c r="A87" s="97">
        <v>63</v>
      </c>
      <c r="B87" s="97">
        <v>86</v>
      </c>
      <c r="C87" s="110">
        <v>45537</v>
      </c>
      <c r="D87" s="97" t="s">
        <v>31</v>
      </c>
      <c r="E87" s="109">
        <v>3</v>
      </c>
      <c r="F87" s="97" t="s">
        <v>205</v>
      </c>
      <c r="G87" s="109">
        <v>26</v>
      </c>
      <c r="H87" s="111" t="s">
        <v>266</v>
      </c>
      <c r="I87" s="112" t="s">
        <v>1004</v>
      </c>
      <c r="J87" s="101" t="s">
        <v>863</v>
      </c>
    </row>
    <row r="88" customHeight="1" spans="1:10">
      <c r="A88" s="97">
        <v>63</v>
      </c>
      <c r="B88" s="97">
        <v>87</v>
      </c>
      <c r="C88" s="110">
        <v>45537</v>
      </c>
      <c r="D88" s="97" t="s">
        <v>31</v>
      </c>
      <c r="E88" s="109">
        <v>3</v>
      </c>
      <c r="F88" s="97" t="s">
        <v>202</v>
      </c>
      <c r="G88" s="109">
        <v>81</v>
      </c>
      <c r="H88" s="111" t="s">
        <v>68</v>
      </c>
      <c r="I88" s="112" t="s">
        <v>1005</v>
      </c>
      <c r="J88" s="101" t="s">
        <v>863</v>
      </c>
    </row>
    <row r="89" customHeight="1" spans="1:10">
      <c r="A89" s="97">
        <v>64</v>
      </c>
      <c r="B89" s="97">
        <v>88</v>
      </c>
      <c r="C89" s="110">
        <v>45537</v>
      </c>
      <c r="D89" s="97" t="s">
        <v>31</v>
      </c>
      <c r="E89" s="109">
        <v>3</v>
      </c>
      <c r="F89" s="97" t="s">
        <v>734</v>
      </c>
      <c r="G89" s="109">
        <v>55</v>
      </c>
      <c r="H89" s="111" t="s">
        <v>163</v>
      </c>
      <c r="I89" s="112" t="s">
        <v>1006</v>
      </c>
      <c r="J89" s="97" t="s">
        <v>877</v>
      </c>
    </row>
    <row r="90" ht="57" customHeight="1" spans="1:10">
      <c r="A90" s="97">
        <v>65</v>
      </c>
      <c r="B90" s="97">
        <v>89</v>
      </c>
      <c r="C90" s="110">
        <v>45537</v>
      </c>
      <c r="D90" s="97" t="s">
        <v>87</v>
      </c>
      <c r="E90" s="109">
        <v>3</v>
      </c>
      <c r="F90" s="97" t="s">
        <v>273</v>
      </c>
      <c r="G90" s="109">
        <v>143</v>
      </c>
      <c r="H90" s="111" t="s">
        <v>44</v>
      </c>
      <c r="I90" s="113" t="s">
        <v>1007</v>
      </c>
      <c r="J90" s="101" t="s">
        <v>878</v>
      </c>
    </row>
    <row r="91" ht="57" customHeight="1" spans="1:10">
      <c r="A91" s="97">
        <v>66</v>
      </c>
      <c r="B91" s="97">
        <v>90</v>
      </c>
      <c r="C91" s="110">
        <v>45537</v>
      </c>
      <c r="D91" s="97" t="s">
        <v>87</v>
      </c>
      <c r="E91" s="109">
        <v>3</v>
      </c>
      <c r="F91" s="97" t="s">
        <v>735</v>
      </c>
      <c r="G91" s="109">
        <v>138</v>
      </c>
      <c r="H91" s="111" t="s">
        <v>44</v>
      </c>
      <c r="I91" s="113" t="s">
        <v>1007</v>
      </c>
      <c r="J91" s="101" t="s">
        <v>844</v>
      </c>
    </row>
    <row r="92" ht="57" customHeight="1" spans="1:10">
      <c r="A92" s="97">
        <v>67</v>
      </c>
      <c r="B92" s="97">
        <v>91</v>
      </c>
      <c r="C92" s="110">
        <v>45537</v>
      </c>
      <c r="D92" s="97" t="s">
        <v>87</v>
      </c>
      <c r="E92" s="109">
        <v>3</v>
      </c>
      <c r="F92" s="97" t="s">
        <v>736</v>
      </c>
      <c r="G92" s="109">
        <v>109</v>
      </c>
      <c r="H92" s="111" t="s">
        <v>44</v>
      </c>
      <c r="I92" s="113" t="s">
        <v>1007</v>
      </c>
      <c r="J92" s="101" t="s">
        <v>838</v>
      </c>
    </row>
    <row r="93" customHeight="1" spans="1:10">
      <c r="A93" s="97">
        <v>68</v>
      </c>
      <c r="B93" s="97">
        <v>92</v>
      </c>
      <c r="C93" s="110">
        <v>45537</v>
      </c>
      <c r="D93" s="97" t="s">
        <v>87</v>
      </c>
      <c r="E93" s="109">
        <v>3</v>
      </c>
      <c r="F93" s="97" t="s">
        <v>737</v>
      </c>
      <c r="G93" s="109">
        <v>17</v>
      </c>
      <c r="H93" s="111" t="s">
        <v>13</v>
      </c>
      <c r="I93" s="112" t="s">
        <v>1008</v>
      </c>
      <c r="J93" s="101" t="s">
        <v>850</v>
      </c>
    </row>
    <row r="94" customHeight="1" spans="1:10">
      <c r="A94" s="97">
        <v>69</v>
      </c>
      <c r="B94" s="97">
        <v>93</v>
      </c>
      <c r="C94" s="110">
        <v>45537</v>
      </c>
      <c r="D94" s="97" t="s">
        <v>87</v>
      </c>
      <c r="E94" s="109">
        <v>3</v>
      </c>
      <c r="F94" s="97" t="s">
        <v>283</v>
      </c>
      <c r="G94" s="109">
        <v>44</v>
      </c>
      <c r="H94" s="111" t="s">
        <v>13</v>
      </c>
      <c r="I94" s="112" t="s">
        <v>1008</v>
      </c>
      <c r="J94" s="97" t="s">
        <v>879</v>
      </c>
    </row>
    <row r="95" ht="57" customHeight="1" spans="1:10">
      <c r="A95" s="97">
        <v>70</v>
      </c>
      <c r="B95" s="97">
        <v>94</v>
      </c>
      <c r="C95" s="110">
        <v>45537</v>
      </c>
      <c r="D95" s="97" t="s">
        <v>87</v>
      </c>
      <c r="E95" s="109">
        <v>3</v>
      </c>
      <c r="F95" s="97" t="s">
        <v>286</v>
      </c>
      <c r="G95" s="109">
        <v>208</v>
      </c>
      <c r="H95" s="111" t="s">
        <v>39</v>
      </c>
      <c r="I95" s="113" t="s">
        <v>1009</v>
      </c>
      <c r="J95" s="97" t="s">
        <v>833</v>
      </c>
    </row>
    <row r="96" ht="57" customHeight="1" spans="1:10">
      <c r="A96" s="97">
        <v>70</v>
      </c>
      <c r="B96" s="97">
        <v>95</v>
      </c>
      <c r="C96" s="110">
        <v>45537</v>
      </c>
      <c r="D96" s="97" t="s">
        <v>87</v>
      </c>
      <c r="E96" s="109">
        <v>3</v>
      </c>
      <c r="F96" s="97" t="s">
        <v>286</v>
      </c>
      <c r="G96" s="109">
        <v>207</v>
      </c>
      <c r="H96" s="111" t="s">
        <v>58</v>
      </c>
      <c r="I96" s="113" t="s">
        <v>1010</v>
      </c>
      <c r="J96" s="97" t="s">
        <v>833</v>
      </c>
    </row>
    <row r="97" ht="57" customHeight="1" spans="1:10">
      <c r="A97" s="97">
        <v>70</v>
      </c>
      <c r="B97" s="97">
        <v>96</v>
      </c>
      <c r="C97" s="110">
        <v>45537</v>
      </c>
      <c r="D97" s="97" t="s">
        <v>87</v>
      </c>
      <c r="E97" s="109">
        <v>3</v>
      </c>
      <c r="F97" s="97" t="s">
        <v>286</v>
      </c>
      <c r="G97" s="109">
        <v>185</v>
      </c>
      <c r="H97" s="111" t="s">
        <v>33</v>
      </c>
      <c r="I97" s="113" t="s">
        <v>1011</v>
      </c>
      <c r="J97" s="97" t="s">
        <v>833</v>
      </c>
    </row>
    <row r="98" ht="57" customHeight="1" spans="1:10">
      <c r="A98" s="97">
        <v>70</v>
      </c>
      <c r="B98" s="97">
        <v>97</v>
      </c>
      <c r="C98" s="110">
        <v>45537</v>
      </c>
      <c r="D98" s="97" t="s">
        <v>87</v>
      </c>
      <c r="E98" s="109">
        <v>3</v>
      </c>
      <c r="F98" s="97" t="s">
        <v>286</v>
      </c>
      <c r="G98" s="109">
        <v>184</v>
      </c>
      <c r="H98" s="111" t="s">
        <v>73</v>
      </c>
      <c r="I98" s="113" t="s">
        <v>1012</v>
      </c>
      <c r="J98" s="97" t="s">
        <v>833</v>
      </c>
    </row>
    <row r="99" customHeight="1" spans="1:10">
      <c r="A99" s="97">
        <v>71</v>
      </c>
      <c r="B99" s="97">
        <v>98</v>
      </c>
      <c r="C99" s="110">
        <v>45537</v>
      </c>
      <c r="D99" s="97" t="s">
        <v>87</v>
      </c>
      <c r="E99" s="109">
        <v>3</v>
      </c>
      <c r="F99" s="97" t="s">
        <v>292</v>
      </c>
      <c r="G99" s="109">
        <v>16</v>
      </c>
      <c r="H99" s="111" t="s">
        <v>77</v>
      </c>
      <c r="I99" s="112" t="s">
        <v>1013</v>
      </c>
      <c r="J99" s="97" t="s">
        <v>880</v>
      </c>
    </row>
    <row r="100" customHeight="1" spans="1:10">
      <c r="A100" s="97">
        <v>71</v>
      </c>
      <c r="B100" s="97">
        <v>99</v>
      </c>
      <c r="C100" s="110">
        <v>45537</v>
      </c>
      <c r="D100" s="97" t="s">
        <v>87</v>
      </c>
      <c r="E100" s="109">
        <v>3</v>
      </c>
      <c r="F100" s="97" t="s">
        <v>296</v>
      </c>
      <c r="G100" s="109">
        <v>76</v>
      </c>
      <c r="H100" s="111" t="s">
        <v>77</v>
      </c>
      <c r="I100" s="112" t="s">
        <v>1013</v>
      </c>
      <c r="J100" s="97" t="s">
        <v>880</v>
      </c>
    </row>
    <row r="101" customHeight="1" spans="1:10">
      <c r="A101" s="97">
        <v>72</v>
      </c>
      <c r="B101" s="97">
        <v>100</v>
      </c>
      <c r="C101" s="110">
        <v>45537</v>
      </c>
      <c r="D101" s="97" t="s">
        <v>87</v>
      </c>
      <c r="E101" s="109">
        <v>3</v>
      </c>
      <c r="F101" s="97" t="s">
        <v>211</v>
      </c>
      <c r="G101" s="109">
        <v>73</v>
      </c>
      <c r="H101" s="111" t="s">
        <v>63</v>
      </c>
      <c r="I101" s="112" t="s">
        <v>1014</v>
      </c>
      <c r="J101" s="101" t="s">
        <v>866</v>
      </c>
    </row>
    <row r="102" customHeight="1" spans="1:10">
      <c r="A102" s="97">
        <v>73</v>
      </c>
      <c r="B102" s="97">
        <v>101</v>
      </c>
      <c r="C102" s="110">
        <v>45537</v>
      </c>
      <c r="D102" s="97" t="s">
        <v>87</v>
      </c>
      <c r="E102" s="109">
        <v>3</v>
      </c>
      <c r="F102" s="97" t="s">
        <v>739</v>
      </c>
      <c r="G102" s="109">
        <v>37</v>
      </c>
      <c r="H102" s="111" t="s">
        <v>104</v>
      </c>
      <c r="I102" s="112" t="s">
        <v>1015</v>
      </c>
      <c r="J102" s="101" t="s">
        <v>870</v>
      </c>
    </row>
    <row r="103" customHeight="1" spans="1:10">
      <c r="A103" s="97">
        <v>74</v>
      </c>
      <c r="B103" s="97">
        <v>102</v>
      </c>
      <c r="C103" s="110">
        <v>45537</v>
      </c>
      <c r="D103" s="97" t="s">
        <v>87</v>
      </c>
      <c r="E103" s="109">
        <v>3</v>
      </c>
      <c r="F103" s="97" t="s">
        <v>740</v>
      </c>
      <c r="G103" s="109">
        <v>24</v>
      </c>
      <c r="H103" s="111" t="s">
        <v>301</v>
      </c>
      <c r="I103" s="112" t="s">
        <v>1016</v>
      </c>
      <c r="J103" s="101" t="s">
        <v>881</v>
      </c>
    </row>
    <row r="104" customHeight="1" spans="1:10">
      <c r="A104" s="97">
        <v>75</v>
      </c>
      <c r="B104" s="97">
        <v>103</v>
      </c>
      <c r="C104" s="110">
        <v>45537</v>
      </c>
      <c r="D104" s="97" t="s">
        <v>87</v>
      </c>
      <c r="E104" s="109">
        <v>3</v>
      </c>
      <c r="F104" s="97" t="s">
        <v>304</v>
      </c>
      <c r="G104" s="109">
        <v>70</v>
      </c>
      <c r="H104" s="111" t="s">
        <v>49</v>
      </c>
      <c r="I104" s="112" t="s">
        <v>1017</v>
      </c>
      <c r="J104" s="97" t="s">
        <v>876</v>
      </c>
    </row>
    <row r="105" customHeight="1" spans="1:10">
      <c r="A105" s="97">
        <v>75</v>
      </c>
      <c r="B105" s="97">
        <v>104</v>
      </c>
      <c r="C105" s="110">
        <v>45537</v>
      </c>
      <c r="D105" s="97" t="s">
        <v>87</v>
      </c>
      <c r="E105" s="109">
        <v>3</v>
      </c>
      <c r="F105" s="97" t="s">
        <v>304</v>
      </c>
      <c r="G105" s="109">
        <v>21</v>
      </c>
      <c r="H105" s="111" t="s">
        <v>53</v>
      </c>
      <c r="I105" s="112" t="s">
        <v>1018</v>
      </c>
      <c r="J105" s="97" t="s">
        <v>876</v>
      </c>
    </row>
    <row r="106" customHeight="1" spans="1:10">
      <c r="A106" s="97">
        <v>76</v>
      </c>
      <c r="B106" s="97">
        <v>105</v>
      </c>
      <c r="C106" s="110">
        <v>45537</v>
      </c>
      <c r="D106" s="97" t="s">
        <v>87</v>
      </c>
      <c r="E106" s="109">
        <v>3</v>
      </c>
      <c r="F106" s="97" t="s">
        <v>741</v>
      </c>
      <c r="G106" s="109">
        <v>7</v>
      </c>
      <c r="H106" s="111" t="s">
        <v>53</v>
      </c>
      <c r="I106" s="112" t="s">
        <v>1018</v>
      </c>
      <c r="J106" s="97" t="s">
        <v>882</v>
      </c>
    </row>
    <row r="107" customHeight="1" spans="1:10">
      <c r="A107" s="97">
        <v>77</v>
      </c>
      <c r="B107" s="97">
        <v>106</v>
      </c>
      <c r="C107" s="110">
        <v>45537</v>
      </c>
      <c r="D107" s="97" t="s">
        <v>87</v>
      </c>
      <c r="E107" s="109">
        <v>3</v>
      </c>
      <c r="F107" s="97" t="s">
        <v>269</v>
      </c>
      <c r="G107" s="109">
        <v>55</v>
      </c>
      <c r="H107" s="111" t="s">
        <v>246</v>
      </c>
      <c r="I107" s="112" t="s">
        <v>1019</v>
      </c>
      <c r="J107" s="97" t="s">
        <v>877</v>
      </c>
    </row>
    <row r="108" customHeight="1" spans="1:10">
      <c r="A108" s="97">
        <v>78</v>
      </c>
      <c r="B108" s="97">
        <v>107</v>
      </c>
      <c r="C108" s="110">
        <v>45537</v>
      </c>
      <c r="D108" s="97" t="s">
        <v>312</v>
      </c>
      <c r="E108" s="109">
        <v>4</v>
      </c>
      <c r="F108" s="97" t="s">
        <v>253</v>
      </c>
      <c r="G108" s="109">
        <v>40</v>
      </c>
      <c r="H108" s="111" t="s">
        <v>266</v>
      </c>
      <c r="I108" s="112" t="s">
        <v>1020</v>
      </c>
      <c r="J108" s="97" t="s">
        <v>874</v>
      </c>
    </row>
    <row r="109" customHeight="1" spans="1:10">
      <c r="A109" s="97">
        <v>78</v>
      </c>
      <c r="B109" s="97">
        <v>108</v>
      </c>
      <c r="C109" s="110">
        <v>45537</v>
      </c>
      <c r="D109" s="97" t="s">
        <v>312</v>
      </c>
      <c r="E109" s="109">
        <v>4</v>
      </c>
      <c r="F109" s="97" t="s">
        <v>314</v>
      </c>
      <c r="G109" s="109">
        <v>60</v>
      </c>
      <c r="H109" s="111" t="s">
        <v>315</v>
      </c>
      <c r="I109" s="112" t="s">
        <v>1021</v>
      </c>
      <c r="J109" s="101" t="s">
        <v>890</v>
      </c>
    </row>
    <row r="110" customHeight="1" spans="1:10">
      <c r="A110" s="97">
        <v>78</v>
      </c>
      <c r="B110" s="97">
        <v>109</v>
      </c>
      <c r="C110" s="110">
        <v>45537</v>
      </c>
      <c r="D110" s="97" t="s">
        <v>312</v>
      </c>
      <c r="E110" s="109">
        <v>4</v>
      </c>
      <c r="F110" s="97" t="s">
        <v>314</v>
      </c>
      <c r="G110" s="109">
        <v>50</v>
      </c>
      <c r="H110" s="111" t="s">
        <v>163</v>
      </c>
      <c r="I110" s="112" t="s">
        <v>1022</v>
      </c>
      <c r="J110" s="101" t="s">
        <v>890</v>
      </c>
    </row>
    <row r="111" customHeight="1" spans="1:10">
      <c r="A111" s="97">
        <v>78</v>
      </c>
      <c r="B111" s="97">
        <v>110</v>
      </c>
      <c r="C111" s="110">
        <v>45537</v>
      </c>
      <c r="D111" s="97" t="s">
        <v>312</v>
      </c>
      <c r="E111" s="109">
        <v>4</v>
      </c>
      <c r="F111" s="97" t="s">
        <v>314</v>
      </c>
      <c r="G111" s="109">
        <v>30</v>
      </c>
      <c r="H111" s="111" t="s">
        <v>24</v>
      </c>
      <c r="I111" s="112" t="s">
        <v>1023</v>
      </c>
      <c r="J111" s="101" t="s">
        <v>890</v>
      </c>
    </row>
    <row r="112" customHeight="1" spans="1:10">
      <c r="A112" s="97">
        <v>78</v>
      </c>
      <c r="B112" s="97">
        <v>111</v>
      </c>
      <c r="C112" s="110">
        <v>45537</v>
      </c>
      <c r="D112" s="97" t="s">
        <v>312</v>
      </c>
      <c r="E112" s="109">
        <v>4</v>
      </c>
      <c r="F112" s="97" t="s">
        <v>314</v>
      </c>
      <c r="G112" s="109">
        <v>50</v>
      </c>
      <c r="H112" s="111" t="s">
        <v>27</v>
      </c>
      <c r="I112" s="112" t="s">
        <v>1024</v>
      </c>
      <c r="J112" s="101" t="s">
        <v>890</v>
      </c>
    </row>
    <row r="113" customHeight="1" spans="1:10">
      <c r="A113" s="97">
        <v>79</v>
      </c>
      <c r="B113" s="97">
        <v>112</v>
      </c>
      <c r="C113" s="110">
        <v>45538</v>
      </c>
      <c r="D113" s="97" t="s">
        <v>11</v>
      </c>
      <c r="E113" s="109">
        <v>2</v>
      </c>
      <c r="F113" s="97" t="s">
        <v>321</v>
      </c>
      <c r="G113" s="109">
        <v>55</v>
      </c>
      <c r="H113" s="111" t="s">
        <v>77</v>
      </c>
      <c r="I113" s="112" t="s">
        <v>1025</v>
      </c>
      <c r="J113" s="101" t="s">
        <v>841</v>
      </c>
    </row>
    <row r="114" customHeight="1" spans="1:10">
      <c r="A114" s="97">
        <v>80</v>
      </c>
      <c r="B114" s="97">
        <v>113</v>
      </c>
      <c r="C114" s="110">
        <v>45538</v>
      </c>
      <c r="D114" s="97" t="s">
        <v>11</v>
      </c>
      <c r="E114" s="109">
        <v>2</v>
      </c>
      <c r="F114" s="97" t="s">
        <v>743</v>
      </c>
      <c r="G114" s="109">
        <v>8</v>
      </c>
      <c r="H114" s="111" t="s">
        <v>77</v>
      </c>
      <c r="I114" s="112" t="s">
        <v>1025</v>
      </c>
      <c r="J114" s="97" t="s">
        <v>883</v>
      </c>
    </row>
    <row r="115" customHeight="1" spans="1:10">
      <c r="A115" s="97">
        <v>81</v>
      </c>
      <c r="B115" s="97">
        <v>114</v>
      </c>
      <c r="C115" s="110">
        <v>45538</v>
      </c>
      <c r="D115" s="97" t="s">
        <v>11</v>
      </c>
      <c r="E115" s="109">
        <v>2</v>
      </c>
      <c r="F115" s="97" t="s">
        <v>744</v>
      </c>
      <c r="G115" s="109">
        <v>9</v>
      </c>
      <c r="H115" s="111" t="s">
        <v>77</v>
      </c>
      <c r="I115" s="112" t="s">
        <v>1025</v>
      </c>
      <c r="J115" s="97" t="s">
        <v>839</v>
      </c>
    </row>
    <row r="116" customHeight="1" spans="1:10">
      <c r="A116" s="97">
        <v>82</v>
      </c>
      <c r="B116" s="97">
        <v>115</v>
      </c>
      <c r="C116" s="110">
        <v>45538</v>
      </c>
      <c r="D116" s="97" t="s">
        <v>31</v>
      </c>
      <c r="E116" s="109">
        <v>3</v>
      </c>
      <c r="F116" s="97" t="s">
        <v>745</v>
      </c>
      <c r="G116" s="109">
        <v>19</v>
      </c>
      <c r="H116" s="111" t="s">
        <v>49</v>
      </c>
      <c r="I116" s="112" t="s">
        <v>1026</v>
      </c>
      <c r="J116" s="101" t="s">
        <v>884</v>
      </c>
    </row>
    <row r="117" customHeight="1" spans="1:10">
      <c r="A117" s="97">
        <v>83</v>
      </c>
      <c r="B117" s="97">
        <v>116</v>
      </c>
      <c r="C117" s="110">
        <v>45538</v>
      </c>
      <c r="D117" s="97" t="s">
        <v>31</v>
      </c>
      <c r="E117" s="109">
        <v>3</v>
      </c>
      <c r="F117" s="97" t="s">
        <v>332</v>
      </c>
      <c r="G117" s="109">
        <v>42</v>
      </c>
      <c r="H117" s="111" t="s">
        <v>49</v>
      </c>
      <c r="I117" s="112" t="s">
        <v>1026</v>
      </c>
      <c r="J117" s="97" t="s">
        <v>843</v>
      </c>
    </row>
    <row r="118" customHeight="1" spans="1:10">
      <c r="A118" s="97">
        <v>84</v>
      </c>
      <c r="B118" s="97">
        <v>117</v>
      </c>
      <c r="C118" s="110">
        <v>45538</v>
      </c>
      <c r="D118" s="97" t="s">
        <v>31</v>
      </c>
      <c r="E118" s="109">
        <v>3</v>
      </c>
      <c r="F118" s="97" t="s">
        <v>1027</v>
      </c>
      <c r="G118" s="109">
        <v>17</v>
      </c>
      <c r="H118" s="111" t="s">
        <v>13</v>
      </c>
      <c r="I118" s="112" t="s">
        <v>1028</v>
      </c>
      <c r="J118" s="101" t="s">
        <v>885</v>
      </c>
    </row>
    <row r="119" customHeight="1" spans="1:10">
      <c r="A119" s="97">
        <v>84</v>
      </c>
      <c r="B119" s="97">
        <v>118</v>
      </c>
      <c r="C119" s="110">
        <v>45538</v>
      </c>
      <c r="D119" s="97" t="s">
        <v>31</v>
      </c>
      <c r="E119" s="109">
        <v>3</v>
      </c>
      <c r="F119" s="97" t="s">
        <v>1029</v>
      </c>
      <c r="G119" s="109">
        <v>1</v>
      </c>
      <c r="H119" s="111" t="s">
        <v>13</v>
      </c>
      <c r="I119" s="112" t="s">
        <v>1028</v>
      </c>
      <c r="J119" s="101" t="s">
        <v>885</v>
      </c>
    </row>
    <row r="120" customHeight="1" spans="1:10">
      <c r="A120" s="97">
        <v>85</v>
      </c>
      <c r="B120" s="97">
        <v>119</v>
      </c>
      <c r="C120" s="110">
        <v>45538</v>
      </c>
      <c r="D120" s="97" t="s">
        <v>31</v>
      </c>
      <c r="E120" s="109">
        <v>3</v>
      </c>
      <c r="F120" s="97" t="s">
        <v>338</v>
      </c>
      <c r="G120" s="109">
        <v>52</v>
      </c>
      <c r="H120" s="111" t="s">
        <v>13</v>
      </c>
      <c r="I120" s="112" t="s">
        <v>1028</v>
      </c>
      <c r="J120" s="101" t="s">
        <v>886</v>
      </c>
    </row>
    <row r="121" customHeight="1" spans="1:10">
      <c r="A121" s="97">
        <v>86</v>
      </c>
      <c r="B121" s="97">
        <v>120</v>
      </c>
      <c r="C121" s="110">
        <v>45538</v>
      </c>
      <c r="D121" s="97" t="s">
        <v>31</v>
      </c>
      <c r="E121" s="109">
        <v>3</v>
      </c>
      <c r="F121" s="97" t="s">
        <v>747</v>
      </c>
      <c r="G121" s="109">
        <v>46</v>
      </c>
      <c r="H121" s="111" t="s">
        <v>53</v>
      </c>
      <c r="I121" s="112" t="s">
        <v>1030</v>
      </c>
      <c r="J121" s="101" t="s">
        <v>870</v>
      </c>
    </row>
    <row r="122" customHeight="1" spans="1:10">
      <c r="A122" s="97">
        <v>87</v>
      </c>
      <c r="B122" s="97">
        <v>121</v>
      </c>
      <c r="C122" s="110">
        <v>45538</v>
      </c>
      <c r="D122" s="97" t="s">
        <v>31</v>
      </c>
      <c r="E122" s="109">
        <v>3</v>
      </c>
      <c r="F122" s="97" t="s">
        <v>342</v>
      </c>
      <c r="G122" s="109">
        <v>21</v>
      </c>
      <c r="H122" s="111" t="s">
        <v>24</v>
      </c>
      <c r="I122" s="112" t="s">
        <v>984</v>
      </c>
      <c r="J122" s="101" t="s">
        <v>862</v>
      </c>
    </row>
    <row r="123" customHeight="1" spans="1:10">
      <c r="A123" s="97">
        <v>88</v>
      </c>
      <c r="B123" s="97">
        <v>122</v>
      </c>
      <c r="C123" s="110">
        <v>45538</v>
      </c>
      <c r="D123" s="97" t="s">
        <v>31</v>
      </c>
      <c r="E123" s="109">
        <v>3</v>
      </c>
      <c r="F123" s="97" t="s">
        <v>343</v>
      </c>
      <c r="G123" s="109">
        <v>44</v>
      </c>
      <c r="H123" s="111" t="s">
        <v>63</v>
      </c>
      <c r="I123" s="112" t="s">
        <v>1031</v>
      </c>
      <c r="J123" s="97" t="s">
        <v>887</v>
      </c>
    </row>
    <row r="124" ht="57" customHeight="1" spans="1:10">
      <c r="A124" s="97">
        <v>89</v>
      </c>
      <c r="B124" s="97">
        <v>123</v>
      </c>
      <c r="C124" s="110">
        <v>45538</v>
      </c>
      <c r="D124" s="97" t="s">
        <v>31</v>
      </c>
      <c r="E124" s="109">
        <v>3</v>
      </c>
      <c r="F124" s="97" t="s">
        <v>347</v>
      </c>
      <c r="G124" s="109">
        <v>114</v>
      </c>
      <c r="H124" s="111" t="s">
        <v>73</v>
      </c>
      <c r="I124" s="113" t="s">
        <v>1032</v>
      </c>
      <c r="J124" s="101" t="s">
        <v>888</v>
      </c>
    </row>
    <row r="125" ht="57" customHeight="1" spans="1:10">
      <c r="A125" s="97">
        <v>89</v>
      </c>
      <c r="B125" s="97">
        <v>124</v>
      </c>
      <c r="C125" s="110">
        <v>45538</v>
      </c>
      <c r="D125" s="97" t="s">
        <v>31</v>
      </c>
      <c r="E125" s="109">
        <v>3</v>
      </c>
      <c r="F125" s="97" t="s">
        <v>350</v>
      </c>
      <c r="G125" s="109">
        <v>37</v>
      </c>
      <c r="H125" s="111" t="s">
        <v>73</v>
      </c>
      <c r="I125" s="113" t="s">
        <v>1032</v>
      </c>
      <c r="J125" s="101" t="s">
        <v>888</v>
      </c>
    </row>
    <row r="126" customHeight="1" spans="1:10">
      <c r="A126" s="97">
        <v>90</v>
      </c>
      <c r="B126" s="97">
        <v>125</v>
      </c>
      <c r="C126" s="110">
        <v>45538</v>
      </c>
      <c r="D126" s="97" t="s">
        <v>31</v>
      </c>
      <c r="E126" s="109">
        <v>3</v>
      </c>
      <c r="F126" s="97" t="s">
        <v>351</v>
      </c>
      <c r="G126" s="109">
        <v>49</v>
      </c>
      <c r="H126" s="111" t="s">
        <v>315</v>
      </c>
      <c r="I126" s="112" t="s">
        <v>954</v>
      </c>
      <c r="J126" s="101" t="s">
        <v>889</v>
      </c>
    </row>
    <row r="127" ht="57" customHeight="1" spans="1:10">
      <c r="A127" s="97">
        <v>91</v>
      </c>
      <c r="B127" s="97">
        <v>126</v>
      </c>
      <c r="C127" s="110">
        <v>45538</v>
      </c>
      <c r="D127" s="97" t="s">
        <v>31</v>
      </c>
      <c r="E127" s="109">
        <v>3</v>
      </c>
      <c r="F127" s="97" t="s">
        <v>353</v>
      </c>
      <c r="G127" s="109">
        <v>115</v>
      </c>
      <c r="H127" s="111" t="s">
        <v>33</v>
      </c>
      <c r="I127" s="113" t="s">
        <v>1033</v>
      </c>
      <c r="J127" s="101" t="s">
        <v>890</v>
      </c>
    </row>
    <row r="128" ht="57" customHeight="1" spans="1:10">
      <c r="A128" s="97">
        <v>92</v>
      </c>
      <c r="B128" s="97">
        <v>127</v>
      </c>
      <c r="C128" s="110">
        <v>45538</v>
      </c>
      <c r="D128" s="97" t="s">
        <v>31</v>
      </c>
      <c r="E128" s="109">
        <v>3</v>
      </c>
      <c r="F128" s="97" t="s">
        <v>751</v>
      </c>
      <c r="G128" s="109">
        <v>49</v>
      </c>
      <c r="H128" s="111" t="s">
        <v>33</v>
      </c>
      <c r="I128" s="113" t="s">
        <v>1033</v>
      </c>
      <c r="J128" s="97" t="s">
        <v>877</v>
      </c>
    </row>
    <row r="129" customHeight="1" spans="1:10">
      <c r="A129" s="97">
        <v>93</v>
      </c>
      <c r="B129" s="97">
        <v>128</v>
      </c>
      <c r="C129" s="110">
        <v>45538</v>
      </c>
      <c r="D129" s="97" t="s">
        <v>80</v>
      </c>
      <c r="E129" s="109">
        <v>2</v>
      </c>
      <c r="F129" s="97" t="s">
        <v>338</v>
      </c>
      <c r="G129" s="109">
        <v>52</v>
      </c>
      <c r="H129" s="111" t="s">
        <v>163</v>
      </c>
      <c r="I129" s="112" t="s">
        <v>1028</v>
      </c>
      <c r="J129" s="101" t="s">
        <v>886</v>
      </c>
    </row>
    <row r="130" ht="57" customHeight="1" spans="1:10">
      <c r="A130" s="97">
        <v>94</v>
      </c>
      <c r="B130" s="97">
        <v>129</v>
      </c>
      <c r="C130" s="110">
        <v>45538</v>
      </c>
      <c r="D130" s="97" t="s">
        <v>80</v>
      </c>
      <c r="E130" s="109">
        <v>2</v>
      </c>
      <c r="F130" s="97" t="s">
        <v>358</v>
      </c>
      <c r="G130" s="109">
        <v>173</v>
      </c>
      <c r="H130" s="111" t="s">
        <v>58</v>
      </c>
      <c r="I130" s="113" t="s">
        <v>1034</v>
      </c>
      <c r="J130" s="97" t="s">
        <v>891</v>
      </c>
    </row>
    <row r="131" ht="57" customHeight="1" spans="1:10">
      <c r="A131" s="97">
        <v>95</v>
      </c>
      <c r="B131" s="97">
        <v>130</v>
      </c>
      <c r="C131" s="110">
        <v>45538</v>
      </c>
      <c r="D131" s="97" t="s">
        <v>80</v>
      </c>
      <c r="E131" s="109">
        <v>2</v>
      </c>
      <c r="F131" s="97" t="s">
        <v>753</v>
      </c>
      <c r="G131" s="109">
        <v>22</v>
      </c>
      <c r="H131" s="111" t="s">
        <v>58</v>
      </c>
      <c r="I131" s="113" t="s">
        <v>1034</v>
      </c>
      <c r="J131" s="97" t="s">
        <v>828</v>
      </c>
    </row>
    <row r="132" customHeight="1" spans="1:10">
      <c r="A132" s="97">
        <v>96</v>
      </c>
      <c r="B132" s="97">
        <v>131</v>
      </c>
      <c r="C132" s="110">
        <v>45538</v>
      </c>
      <c r="D132" s="97" t="s">
        <v>87</v>
      </c>
      <c r="E132" s="109">
        <v>3</v>
      </c>
      <c r="F132" s="97" t="s">
        <v>365</v>
      </c>
      <c r="G132" s="109">
        <v>83</v>
      </c>
      <c r="H132" s="111" t="s">
        <v>77</v>
      </c>
      <c r="I132" s="112" t="s">
        <v>1035</v>
      </c>
      <c r="J132" s="101" t="s">
        <v>885</v>
      </c>
    </row>
    <row r="133" customHeight="1" spans="1:10">
      <c r="A133" s="97">
        <v>97</v>
      </c>
      <c r="B133" s="97">
        <v>132</v>
      </c>
      <c r="C133" s="110">
        <v>45538</v>
      </c>
      <c r="D133" s="97" t="s">
        <v>87</v>
      </c>
      <c r="E133" s="109">
        <v>3</v>
      </c>
      <c r="F133" s="97" t="s">
        <v>892</v>
      </c>
      <c r="G133" s="109">
        <v>2</v>
      </c>
      <c r="H133" s="111" t="s">
        <v>77</v>
      </c>
      <c r="I133" s="112" t="s">
        <v>1035</v>
      </c>
      <c r="J133" s="97" t="s">
        <v>893</v>
      </c>
    </row>
    <row r="134" ht="57" customHeight="1" spans="1:10">
      <c r="A134" s="97">
        <v>98</v>
      </c>
      <c r="B134" s="97">
        <v>133</v>
      </c>
      <c r="C134" s="110">
        <v>45538</v>
      </c>
      <c r="D134" s="97" t="s">
        <v>87</v>
      </c>
      <c r="E134" s="109">
        <v>3</v>
      </c>
      <c r="F134" s="97" t="s">
        <v>370</v>
      </c>
      <c r="G134" s="109">
        <v>5</v>
      </c>
      <c r="H134" s="111" t="s">
        <v>33</v>
      </c>
      <c r="I134" s="113" t="s">
        <v>1036</v>
      </c>
      <c r="J134" s="101" t="s">
        <v>866</v>
      </c>
    </row>
    <row r="135" ht="57" customHeight="1" spans="1:10">
      <c r="A135" s="97">
        <v>98</v>
      </c>
      <c r="B135" s="97">
        <v>134</v>
      </c>
      <c r="C135" s="110">
        <v>45538</v>
      </c>
      <c r="D135" s="97" t="s">
        <v>87</v>
      </c>
      <c r="E135" s="109">
        <v>3</v>
      </c>
      <c r="F135" s="97" t="s">
        <v>372</v>
      </c>
      <c r="G135" s="109">
        <v>121</v>
      </c>
      <c r="H135" s="111" t="s">
        <v>33</v>
      </c>
      <c r="I135" s="113" t="s">
        <v>1036</v>
      </c>
      <c r="J135" s="101" t="s">
        <v>866</v>
      </c>
    </row>
    <row r="136" customHeight="1" spans="1:10">
      <c r="A136" s="97">
        <v>99</v>
      </c>
      <c r="B136" s="97">
        <v>135</v>
      </c>
      <c r="C136" s="110">
        <v>45538</v>
      </c>
      <c r="D136" s="97" t="s">
        <v>87</v>
      </c>
      <c r="E136" s="109">
        <v>3</v>
      </c>
      <c r="F136" s="97" t="s">
        <v>1037</v>
      </c>
      <c r="G136" s="109">
        <v>146</v>
      </c>
      <c r="H136" s="111" t="s">
        <v>27</v>
      </c>
      <c r="I136" s="112" t="s">
        <v>998</v>
      </c>
      <c r="J136" s="101" t="s">
        <v>870</v>
      </c>
    </row>
    <row r="137" customHeight="1" spans="1:10">
      <c r="A137" s="97">
        <v>100</v>
      </c>
      <c r="B137" s="97">
        <v>136</v>
      </c>
      <c r="C137" s="110">
        <v>45538</v>
      </c>
      <c r="D137" s="97" t="s">
        <v>87</v>
      </c>
      <c r="E137" s="109">
        <v>3</v>
      </c>
      <c r="F137" s="97" t="s">
        <v>757</v>
      </c>
      <c r="G137" s="109">
        <v>12</v>
      </c>
      <c r="H137" s="111" t="s">
        <v>13</v>
      </c>
      <c r="I137" s="112" t="s">
        <v>1038</v>
      </c>
      <c r="J137" s="101" t="s">
        <v>894</v>
      </c>
    </row>
    <row r="138" ht="57" customHeight="1" spans="1:10">
      <c r="A138" s="97">
        <v>101</v>
      </c>
      <c r="B138" s="97">
        <v>137</v>
      </c>
      <c r="C138" s="110">
        <v>45538</v>
      </c>
      <c r="D138" s="97" t="s">
        <v>87</v>
      </c>
      <c r="E138" s="109">
        <v>3</v>
      </c>
      <c r="F138" s="97" t="s">
        <v>377</v>
      </c>
      <c r="G138" s="109">
        <v>114</v>
      </c>
      <c r="H138" s="111" t="s">
        <v>73</v>
      </c>
      <c r="I138" s="113" t="s">
        <v>1039</v>
      </c>
      <c r="J138" s="101" t="s">
        <v>888</v>
      </c>
    </row>
    <row r="139" ht="57" customHeight="1" spans="1:10">
      <c r="A139" s="97">
        <v>101</v>
      </c>
      <c r="B139" s="97">
        <v>138</v>
      </c>
      <c r="C139" s="110">
        <v>45538</v>
      </c>
      <c r="D139" s="97" t="s">
        <v>87</v>
      </c>
      <c r="E139" s="109">
        <v>3</v>
      </c>
      <c r="F139" s="97" t="s">
        <v>379</v>
      </c>
      <c r="G139" s="109">
        <v>3</v>
      </c>
      <c r="H139" s="111" t="s">
        <v>73</v>
      </c>
      <c r="I139" s="113" t="s">
        <v>1039</v>
      </c>
      <c r="J139" s="101" t="s">
        <v>888</v>
      </c>
    </row>
    <row r="140" ht="57" customHeight="1" spans="1:10">
      <c r="A140" s="97">
        <v>102</v>
      </c>
      <c r="B140" s="97">
        <v>139</v>
      </c>
      <c r="C140" s="110">
        <v>45538</v>
      </c>
      <c r="D140" s="97" t="s">
        <v>87</v>
      </c>
      <c r="E140" s="109">
        <v>3</v>
      </c>
      <c r="F140" s="97" t="s">
        <v>1040</v>
      </c>
      <c r="G140" s="109">
        <v>17</v>
      </c>
      <c r="H140" s="111" t="s">
        <v>73</v>
      </c>
      <c r="I140" s="113" t="s">
        <v>1039</v>
      </c>
      <c r="J140" s="101" t="s">
        <v>895</v>
      </c>
    </row>
    <row r="141" ht="57" customHeight="1" spans="1:10">
      <c r="A141" s="97">
        <v>102</v>
      </c>
      <c r="B141" s="97">
        <v>140</v>
      </c>
      <c r="C141" s="110">
        <v>45538</v>
      </c>
      <c r="D141" s="97" t="s">
        <v>87</v>
      </c>
      <c r="E141" s="109">
        <v>3</v>
      </c>
      <c r="F141" s="97" t="s">
        <v>1041</v>
      </c>
      <c r="G141" s="109">
        <v>7</v>
      </c>
      <c r="H141" s="111" t="s">
        <v>73</v>
      </c>
      <c r="I141" s="113" t="s">
        <v>1039</v>
      </c>
      <c r="J141" s="101" t="s">
        <v>895</v>
      </c>
    </row>
    <row r="142" customHeight="1" spans="1:10">
      <c r="A142" s="97">
        <v>103</v>
      </c>
      <c r="B142" s="97">
        <v>141</v>
      </c>
      <c r="C142" s="110">
        <v>45538</v>
      </c>
      <c r="D142" s="97" t="s">
        <v>312</v>
      </c>
      <c r="E142" s="109">
        <v>4</v>
      </c>
      <c r="F142" s="97" t="s">
        <v>351</v>
      </c>
      <c r="G142" s="109">
        <v>49</v>
      </c>
      <c r="H142" s="111" t="s">
        <v>315</v>
      </c>
      <c r="I142" s="112" t="s">
        <v>954</v>
      </c>
      <c r="J142" s="101" t="s">
        <v>889</v>
      </c>
    </row>
    <row r="143" customHeight="1" spans="1:10">
      <c r="A143" s="97">
        <v>104</v>
      </c>
      <c r="B143" s="97">
        <v>142</v>
      </c>
      <c r="C143" s="110">
        <v>45539</v>
      </c>
      <c r="D143" s="97" t="s">
        <v>11</v>
      </c>
      <c r="E143" s="109">
        <v>2</v>
      </c>
      <c r="F143" s="97" t="s">
        <v>384</v>
      </c>
      <c r="G143" s="109">
        <v>20</v>
      </c>
      <c r="H143" s="111" t="s">
        <v>49</v>
      </c>
      <c r="I143" s="112" t="s">
        <v>1042</v>
      </c>
      <c r="J143" s="101" t="s">
        <v>896</v>
      </c>
    </row>
    <row r="144" customHeight="1" spans="1:10">
      <c r="A144" s="97">
        <v>105</v>
      </c>
      <c r="B144" s="97">
        <v>143</v>
      </c>
      <c r="C144" s="110">
        <v>45539</v>
      </c>
      <c r="D144" s="97" t="s">
        <v>31</v>
      </c>
      <c r="E144" s="109">
        <v>3</v>
      </c>
      <c r="F144" s="97" t="s">
        <v>388</v>
      </c>
      <c r="G144" s="109">
        <v>36</v>
      </c>
      <c r="H144" s="111" t="s">
        <v>13</v>
      </c>
      <c r="I144" s="112" t="s">
        <v>1043</v>
      </c>
      <c r="J144" s="101" t="s">
        <v>897</v>
      </c>
    </row>
    <row r="145" customHeight="1" spans="1:10">
      <c r="A145" s="97">
        <v>105</v>
      </c>
      <c r="B145" s="97">
        <v>144</v>
      </c>
      <c r="C145" s="110">
        <v>45539</v>
      </c>
      <c r="D145" s="97" t="s">
        <v>31</v>
      </c>
      <c r="E145" s="109">
        <v>3</v>
      </c>
      <c r="F145" s="97" t="s">
        <v>391</v>
      </c>
      <c r="G145" s="109">
        <v>27</v>
      </c>
      <c r="H145" s="111" t="s">
        <v>13</v>
      </c>
      <c r="I145" s="112" t="s">
        <v>1043</v>
      </c>
      <c r="J145" s="101" t="s">
        <v>897</v>
      </c>
    </row>
    <row r="146" ht="57" customHeight="1" spans="1:10">
      <c r="A146" s="97">
        <v>106</v>
      </c>
      <c r="B146" s="97">
        <v>145</v>
      </c>
      <c r="C146" s="110">
        <v>45539</v>
      </c>
      <c r="D146" s="97" t="s">
        <v>31</v>
      </c>
      <c r="E146" s="109">
        <v>3</v>
      </c>
      <c r="F146" s="97" t="s">
        <v>392</v>
      </c>
      <c r="G146" s="109">
        <v>414</v>
      </c>
      <c r="H146" s="111" t="s">
        <v>44</v>
      </c>
      <c r="I146" s="113" t="s">
        <v>1044</v>
      </c>
      <c r="J146" s="97" t="s">
        <v>898</v>
      </c>
    </row>
    <row r="147" ht="57" customHeight="1" spans="1:10">
      <c r="A147" s="97">
        <v>106</v>
      </c>
      <c r="B147" s="97">
        <v>146</v>
      </c>
      <c r="C147" s="110">
        <v>45539</v>
      </c>
      <c r="D147" s="97" t="s">
        <v>31</v>
      </c>
      <c r="E147" s="109">
        <v>3</v>
      </c>
      <c r="F147" s="97" t="s">
        <v>396</v>
      </c>
      <c r="G147" s="109">
        <v>217</v>
      </c>
      <c r="H147" s="111" t="s">
        <v>39</v>
      </c>
      <c r="I147" s="113" t="s">
        <v>1045</v>
      </c>
      <c r="J147" s="97" t="s">
        <v>898</v>
      </c>
    </row>
    <row r="148" customHeight="1" spans="1:10">
      <c r="A148" s="97">
        <v>107</v>
      </c>
      <c r="B148" s="97">
        <v>147</v>
      </c>
      <c r="C148" s="110">
        <v>45539</v>
      </c>
      <c r="D148" s="97" t="s">
        <v>31</v>
      </c>
      <c r="E148" s="109">
        <v>3</v>
      </c>
      <c r="F148" s="97" t="s">
        <v>1046</v>
      </c>
      <c r="G148" s="109">
        <v>11</v>
      </c>
      <c r="H148" s="111" t="s">
        <v>24</v>
      </c>
      <c r="I148" s="112" t="s">
        <v>984</v>
      </c>
      <c r="J148" s="101" t="s">
        <v>829</v>
      </c>
    </row>
    <row r="149" customHeight="1" spans="1:10">
      <c r="A149" s="97">
        <v>108</v>
      </c>
      <c r="B149" s="97">
        <v>148</v>
      </c>
      <c r="C149" s="110">
        <v>45539</v>
      </c>
      <c r="D149" s="97" t="s">
        <v>31</v>
      </c>
      <c r="E149" s="109">
        <v>3</v>
      </c>
      <c r="F149" s="97" t="s">
        <v>763</v>
      </c>
      <c r="G149" s="109">
        <v>7</v>
      </c>
      <c r="H149" s="111" t="s">
        <v>77</v>
      </c>
      <c r="I149" s="112" t="s">
        <v>1047</v>
      </c>
      <c r="J149" s="101" t="s">
        <v>899</v>
      </c>
    </row>
    <row r="150" customHeight="1" spans="1:10">
      <c r="A150" s="97">
        <v>109</v>
      </c>
      <c r="B150" s="97">
        <v>149</v>
      </c>
      <c r="C150" s="110">
        <v>45539</v>
      </c>
      <c r="D150" s="97" t="s">
        <v>31</v>
      </c>
      <c r="E150" s="109">
        <v>3</v>
      </c>
      <c r="F150" s="97" t="s">
        <v>159</v>
      </c>
      <c r="G150" s="109">
        <v>75</v>
      </c>
      <c r="H150" s="111" t="s">
        <v>77</v>
      </c>
      <c r="I150" s="112" t="s">
        <v>1047</v>
      </c>
      <c r="J150" s="101" t="s">
        <v>853</v>
      </c>
    </row>
    <row r="151" customHeight="1" spans="1:10">
      <c r="A151" s="97">
        <v>110</v>
      </c>
      <c r="B151" s="97">
        <v>150</v>
      </c>
      <c r="C151" s="110">
        <v>45539</v>
      </c>
      <c r="D151" s="97" t="s">
        <v>31</v>
      </c>
      <c r="E151" s="109">
        <v>3</v>
      </c>
      <c r="F151" s="97" t="s">
        <v>402</v>
      </c>
      <c r="G151" s="109">
        <v>83</v>
      </c>
      <c r="H151" s="111" t="s">
        <v>27</v>
      </c>
      <c r="I151" s="112" t="s">
        <v>1048</v>
      </c>
      <c r="J151" s="97" t="s">
        <v>888</v>
      </c>
    </row>
    <row r="152" customHeight="1" spans="1:10">
      <c r="A152" s="97">
        <v>111</v>
      </c>
      <c r="B152" s="97">
        <v>151</v>
      </c>
      <c r="C152" s="110">
        <v>45539</v>
      </c>
      <c r="D152" s="97" t="s">
        <v>31</v>
      </c>
      <c r="E152" s="109">
        <v>3</v>
      </c>
      <c r="F152" s="97" t="s">
        <v>405</v>
      </c>
      <c r="G152" s="109">
        <v>41</v>
      </c>
      <c r="H152" s="111" t="s">
        <v>266</v>
      </c>
      <c r="I152" s="112" t="s">
        <v>1049</v>
      </c>
      <c r="J152" s="101" t="s">
        <v>900</v>
      </c>
    </row>
    <row r="153" customHeight="1" spans="1:10">
      <c r="A153" s="97">
        <v>112</v>
      </c>
      <c r="B153" s="97">
        <v>152</v>
      </c>
      <c r="C153" s="110">
        <v>45539</v>
      </c>
      <c r="D153" s="97" t="s">
        <v>87</v>
      </c>
      <c r="E153" s="109">
        <v>3</v>
      </c>
      <c r="F153" s="97" t="s">
        <v>766</v>
      </c>
      <c r="G153" s="109">
        <v>4</v>
      </c>
      <c r="H153" s="111" t="s">
        <v>13</v>
      </c>
      <c r="I153" s="112" t="s">
        <v>1050</v>
      </c>
      <c r="J153" s="101" t="s">
        <v>901</v>
      </c>
    </row>
    <row r="154" customHeight="1" spans="1:10">
      <c r="A154" s="97">
        <v>113</v>
      </c>
      <c r="B154" s="97">
        <v>153</v>
      </c>
      <c r="C154" s="110">
        <v>45539</v>
      </c>
      <c r="D154" s="97" t="s">
        <v>87</v>
      </c>
      <c r="E154" s="109">
        <v>3</v>
      </c>
      <c r="F154" s="97" t="s">
        <v>411</v>
      </c>
      <c r="G154" s="109">
        <v>19</v>
      </c>
      <c r="H154" s="111" t="s">
        <v>13</v>
      </c>
      <c r="I154" s="112" t="s">
        <v>1050</v>
      </c>
      <c r="J154" s="97" t="s">
        <v>851</v>
      </c>
    </row>
    <row r="155" customHeight="1" spans="1:10">
      <c r="A155" s="97">
        <v>114</v>
      </c>
      <c r="B155" s="97">
        <v>154</v>
      </c>
      <c r="C155" s="110">
        <v>45539</v>
      </c>
      <c r="D155" s="97" t="s">
        <v>87</v>
      </c>
      <c r="E155" s="109">
        <v>3</v>
      </c>
      <c r="F155" s="97" t="s">
        <v>767</v>
      </c>
      <c r="G155" s="109">
        <v>7</v>
      </c>
      <c r="H155" s="111" t="s">
        <v>13</v>
      </c>
      <c r="I155" s="112" t="s">
        <v>1050</v>
      </c>
      <c r="J155" s="101" t="s">
        <v>832</v>
      </c>
    </row>
    <row r="156" customHeight="1" spans="1:10">
      <c r="A156" s="97">
        <v>115</v>
      </c>
      <c r="B156" s="97">
        <v>155</v>
      </c>
      <c r="C156" s="110">
        <v>45539</v>
      </c>
      <c r="D156" s="97" t="s">
        <v>87</v>
      </c>
      <c r="E156" s="109">
        <v>3</v>
      </c>
      <c r="F156" s="97" t="s">
        <v>413</v>
      </c>
      <c r="G156" s="109">
        <v>22</v>
      </c>
      <c r="H156" s="111" t="s">
        <v>49</v>
      </c>
      <c r="I156" s="112" t="s">
        <v>1051</v>
      </c>
      <c r="J156" s="97" t="s">
        <v>827</v>
      </c>
    </row>
    <row r="157" customHeight="1" spans="1:10">
      <c r="A157" s="97">
        <v>116</v>
      </c>
      <c r="B157" s="97">
        <v>156</v>
      </c>
      <c r="C157" s="110">
        <v>45539</v>
      </c>
      <c r="D157" s="97" t="s">
        <v>87</v>
      </c>
      <c r="E157" s="109">
        <v>3</v>
      </c>
      <c r="F157" s="97" t="s">
        <v>768</v>
      </c>
      <c r="G157" s="109">
        <v>7</v>
      </c>
      <c r="H157" s="111" t="s">
        <v>49</v>
      </c>
      <c r="I157" s="112" t="s">
        <v>1051</v>
      </c>
      <c r="J157" s="97" t="s">
        <v>893</v>
      </c>
    </row>
    <row r="158" ht="57" customHeight="1" spans="1:10">
      <c r="A158" s="97">
        <v>117</v>
      </c>
      <c r="B158" s="97">
        <v>157</v>
      </c>
      <c r="C158" s="110">
        <v>45539</v>
      </c>
      <c r="D158" s="97" t="s">
        <v>87</v>
      </c>
      <c r="E158" s="109">
        <v>3</v>
      </c>
      <c r="F158" s="97" t="s">
        <v>418</v>
      </c>
      <c r="G158" s="109">
        <v>327</v>
      </c>
      <c r="H158" s="111" t="s">
        <v>44</v>
      </c>
      <c r="I158" s="113" t="s">
        <v>1052</v>
      </c>
      <c r="J158" s="97" t="s">
        <v>882</v>
      </c>
    </row>
    <row r="159" customHeight="1" spans="1:10">
      <c r="A159" s="97">
        <v>118</v>
      </c>
      <c r="B159" s="97">
        <v>158</v>
      </c>
      <c r="C159" s="110">
        <v>45539</v>
      </c>
      <c r="D159" s="97" t="s">
        <v>87</v>
      </c>
      <c r="E159" s="109">
        <v>3</v>
      </c>
      <c r="F159" s="97" t="s">
        <v>1053</v>
      </c>
      <c r="G159" s="109">
        <v>17</v>
      </c>
      <c r="H159" s="111" t="s">
        <v>24</v>
      </c>
      <c r="I159" s="112" t="s">
        <v>144</v>
      </c>
      <c r="J159" s="101" t="s">
        <v>849</v>
      </c>
    </row>
    <row r="160" customHeight="1" spans="1:10">
      <c r="A160" s="97">
        <v>119</v>
      </c>
      <c r="B160" s="97">
        <v>159</v>
      </c>
      <c r="C160" s="110">
        <v>45539</v>
      </c>
      <c r="D160" s="97" t="s">
        <v>87</v>
      </c>
      <c r="E160" s="109">
        <v>3</v>
      </c>
      <c r="F160" s="97" t="s">
        <v>422</v>
      </c>
      <c r="G160" s="109">
        <v>46</v>
      </c>
      <c r="H160" s="111" t="s">
        <v>53</v>
      </c>
      <c r="I160" s="112" t="s">
        <v>1054</v>
      </c>
      <c r="J160" s="97" t="s">
        <v>894</v>
      </c>
    </row>
    <row r="161" customHeight="1" spans="1:10">
      <c r="A161" s="97">
        <v>120</v>
      </c>
      <c r="B161" s="97">
        <v>160</v>
      </c>
      <c r="C161" s="110">
        <v>45539</v>
      </c>
      <c r="D161" s="97" t="s">
        <v>87</v>
      </c>
      <c r="E161" s="109">
        <v>3</v>
      </c>
      <c r="F161" s="97" t="s">
        <v>770</v>
      </c>
      <c r="G161" s="109">
        <v>13</v>
      </c>
      <c r="H161" s="111" t="s">
        <v>53</v>
      </c>
      <c r="I161" s="112" t="s">
        <v>1054</v>
      </c>
      <c r="J161" s="101" t="s">
        <v>902</v>
      </c>
    </row>
    <row r="162" ht="57" customHeight="1" spans="1:10">
      <c r="A162" s="97">
        <v>121</v>
      </c>
      <c r="B162" s="97">
        <v>161</v>
      </c>
      <c r="C162" s="110">
        <v>45539</v>
      </c>
      <c r="D162" s="97" t="s">
        <v>87</v>
      </c>
      <c r="E162" s="109">
        <v>3</v>
      </c>
      <c r="F162" s="97" t="s">
        <v>427</v>
      </c>
      <c r="G162" s="109">
        <v>211</v>
      </c>
      <c r="H162" s="111" t="s">
        <v>39</v>
      </c>
      <c r="I162" s="113" t="s">
        <v>1055</v>
      </c>
      <c r="J162" s="101" t="s">
        <v>856</v>
      </c>
    </row>
    <row r="163" customHeight="1" spans="1:10">
      <c r="A163" s="97">
        <v>122</v>
      </c>
      <c r="B163" s="97">
        <v>162</v>
      </c>
      <c r="C163" s="110">
        <v>45540</v>
      </c>
      <c r="D163" s="97" t="s">
        <v>11</v>
      </c>
      <c r="E163" s="109">
        <v>2</v>
      </c>
      <c r="F163" s="97" t="s">
        <v>429</v>
      </c>
      <c r="G163" s="109">
        <v>12</v>
      </c>
      <c r="H163" s="111" t="s">
        <v>301</v>
      </c>
      <c r="I163" s="112" t="s">
        <v>1056</v>
      </c>
      <c r="J163" s="101" t="s">
        <v>859</v>
      </c>
    </row>
    <row r="164" customHeight="1" spans="1:10">
      <c r="A164" s="97">
        <v>123</v>
      </c>
      <c r="B164" s="97">
        <v>163</v>
      </c>
      <c r="C164" s="110">
        <v>45540</v>
      </c>
      <c r="D164" s="97" t="s">
        <v>31</v>
      </c>
      <c r="E164" s="109">
        <v>3</v>
      </c>
      <c r="F164" s="97" t="s">
        <v>432</v>
      </c>
      <c r="G164" s="109">
        <v>55</v>
      </c>
      <c r="H164" s="111" t="s">
        <v>13</v>
      </c>
      <c r="I164" s="112" t="s">
        <v>1057</v>
      </c>
      <c r="J164" s="97" t="s">
        <v>897</v>
      </c>
    </row>
    <row r="165" customHeight="1" spans="1:10">
      <c r="A165" s="97">
        <v>124</v>
      </c>
      <c r="B165" s="97">
        <v>164</v>
      </c>
      <c r="C165" s="110">
        <v>45540</v>
      </c>
      <c r="D165" s="97" t="s">
        <v>31</v>
      </c>
      <c r="E165" s="109">
        <v>3</v>
      </c>
      <c r="F165" s="97" t="s">
        <v>771</v>
      </c>
      <c r="G165" s="109">
        <v>5</v>
      </c>
      <c r="H165" s="111" t="s">
        <v>13</v>
      </c>
      <c r="I165" s="112" t="s">
        <v>1057</v>
      </c>
      <c r="J165" s="101" t="s">
        <v>865</v>
      </c>
    </row>
    <row r="166" customHeight="1" spans="1:10">
      <c r="A166" s="97">
        <v>125</v>
      </c>
      <c r="B166" s="97">
        <v>165</v>
      </c>
      <c r="C166" s="110">
        <v>45540</v>
      </c>
      <c r="D166" s="97" t="s">
        <v>31</v>
      </c>
      <c r="E166" s="109">
        <v>3</v>
      </c>
      <c r="F166" s="97" t="s">
        <v>436</v>
      </c>
      <c r="G166" s="109">
        <v>35</v>
      </c>
      <c r="H166" s="111" t="s">
        <v>104</v>
      </c>
      <c r="I166" s="112" t="s">
        <v>1058</v>
      </c>
      <c r="J166" s="101" t="s">
        <v>885</v>
      </c>
    </row>
    <row r="167" customHeight="1" spans="1:10">
      <c r="A167" s="97">
        <v>126</v>
      </c>
      <c r="B167" s="97">
        <v>166</v>
      </c>
      <c r="C167" s="110">
        <v>45540</v>
      </c>
      <c r="D167" s="97" t="s">
        <v>31</v>
      </c>
      <c r="E167" s="109">
        <v>3</v>
      </c>
      <c r="F167" s="97" t="s">
        <v>438</v>
      </c>
      <c r="G167" s="109">
        <v>25</v>
      </c>
      <c r="H167" s="111" t="s">
        <v>49</v>
      </c>
      <c r="I167" s="112" t="s">
        <v>1059</v>
      </c>
      <c r="J167" s="97" t="s">
        <v>903</v>
      </c>
    </row>
    <row r="168" customHeight="1" spans="1:10">
      <c r="A168" s="97">
        <v>127</v>
      </c>
      <c r="B168" s="97">
        <v>167</v>
      </c>
      <c r="C168" s="110">
        <v>45540</v>
      </c>
      <c r="D168" s="97" t="s">
        <v>31</v>
      </c>
      <c r="E168" s="109">
        <v>3</v>
      </c>
      <c r="F168" s="97" t="s">
        <v>772</v>
      </c>
      <c r="G168" s="109">
        <v>18</v>
      </c>
      <c r="H168" s="111" t="s">
        <v>49</v>
      </c>
      <c r="I168" s="112" t="s">
        <v>1059</v>
      </c>
      <c r="J168" s="97" t="s">
        <v>860</v>
      </c>
    </row>
    <row r="169" customHeight="1" spans="1:10">
      <c r="A169" s="97">
        <v>128</v>
      </c>
      <c r="B169" s="97">
        <v>168</v>
      </c>
      <c r="C169" s="110">
        <v>45540</v>
      </c>
      <c r="D169" s="97" t="s">
        <v>31</v>
      </c>
      <c r="E169" s="109">
        <v>3</v>
      </c>
      <c r="F169" s="97" t="s">
        <v>444</v>
      </c>
      <c r="G169" s="109">
        <v>94</v>
      </c>
      <c r="H169" s="111" t="s">
        <v>77</v>
      </c>
      <c r="I169" s="112" t="s">
        <v>1060</v>
      </c>
      <c r="J169" s="97" t="s">
        <v>904</v>
      </c>
    </row>
    <row r="170" ht="57" customHeight="1" spans="1:10">
      <c r="A170" s="97">
        <v>129</v>
      </c>
      <c r="B170" s="97">
        <v>169</v>
      </c>
      <c r="C170" s="110">
        <v>45540</v>
      </c>
      <c r="D170" s="97" t="s">
        <v>31</v>
      </c>
      <c r="E170" s="109">
        <v>3</v>
      </c>
      <c r="F170" s="97" t="s">
        <v>448</v>
      </c>
      <c r="G170" s="109">
        <v>119</v>
      </c>
      <c r="H170" s="111" t="s">
        <v>33</v>
      </c>
      <c r="I170" s="113" t="s">
        <v>1061</v>
      </c>
      <c r="J170" s="97" t="s">
        <v>905</v>
      </c>
    </row>
    <row r="171" ht="57" customHeight="1" spans="1:10">
      <c r="A171" s="97">
        <v>130</v>
      </c>
      <c r="B171" s="97">
        <v>170</v>
      </c>
      <c r="C171" s="110">
        <v>45540</v>
      </c>
      <c r="D171" s="97" t="s">
        <v>31</v>
      </c>
      <c r="E171" s="109">
        <v>3</v>
      </c>
      <c r="F171" s="97" t="s">
        <v>451</v>
      </c>
      <c r="G171" s="109">
        <v>91</v>
      </c>
      <c r="H171" s="111" t="s">
        <v>73</v>
      </c>
      <c r="I171" s="113" t="s">
        <v>1062</v>
      </c>
      <c r="J171" s="97" t="s">
        <v>906</v>
      </c>
    </row>
    <row r="172" ht="57" customHeight="1" spans="1:10">
      <c r="A172" s="97">
        <v>131</v>
      </c>
      <c r="B172" s="97">
        <v>171</v>
      </c>
      <c r="C172" s="110">
        <v>45540</v>
      </c>
      <c r="D172" s="97" t="s">
        <v>31</v>
      </c>
      <c r="E172" s="109">
        <v>3</v>
      </c>
      <c r="F172" s="97" t="s">
        <v>455</v>
      </c>
      <c r="G172" s="109">
        <v>280</v>
      </c>
      <c r="H172" s="111" t="s">
        <v>39</v>
      </c>
      <c r="I172" s="113" t="s">
        <v>1063</v>
      </c>
      <c r="J172" s="97" t="s">
        <v>907</v>
      </c>
    </row>
    <row r="173" customHeight="1" spans="1:10">
      <c r="A173" s="97">
        <v>132</v>
      </c>
      <c r="B173" s="97">
        <v>172</v>
      </c>
      <c r="C173" s="110">
        <v>45540</v>
      </c>
      <c r="D173" s="97" t="s">
        <v>31</v>
      </c>
      <c r="E173" s="109">
        <v>3</v>
      </c>
      <c r="F173" s="97" t="s">
        <v>773</v>
      </c>
      <c r="G173" s="109">
        <v>51</v>
      </c>
      <c r="H173" s="111" t="s">
        <v>53</v>
      </c>
      <c r="I173" s="112" t="s">
        <v>1064</v>
      </c>
      <c r="J173" s="101" t="s">
        <v>908</v>
      </c>
    </row>
    <row r="174" customHeight="1" spans="1:10">
      <c r="A174" s="97">
        <v>133</v>
      </c>
      <c r="B174" s="97">
        <v>173</v>
      </c>
      <c r="C174" s="110">
        <v>45540</v>
      </c>
      <c r="D174" s="97" t="s">
        <v>31</v>
      </c>
      <c r="E174" s="109">
        <v>3</v>
      </c>
      <c r="F174" s="97" t="s">
        <v>462</v>
      </c>
      <c r="G174" s="109">
        <v>1</v>
      </c>
      <c r="H174" s="111" t="s">
        <v>68</v>
      </c>
      <c r="I174" s="112" t="s">
        <v>1065</v>
      </c>
      <c r="J174" s="101" t="s">
        <v>889</v>
      </c>
    </row>
    <row r="175" customHeight="1" spans="1:10">
      <c r="A175" s="97">
        <v>133</v>
      </c>
      <c r="B175" s="97">
        <v>174</v>
      </c>
      <c r="C175" s="110">
        <v>45540</v>
      </c>
      <c r="D175" s="97" t="s">
        <v>31</v>
      </c>
      <c r="E175" s="109">
        <v>3</v>
      </c>
      <c r="F175" s="97" t="s">
        <v>464</v>
      </c>
      <c r="G175" s="109">
        <v>54</v>
      </c>
      <c r="H175" s="111" t="s">
        <v>68</v>
      </c>
      <c r="I175" s="112" t="s">
        <v>1065</v>
      </c>
      <c r="J175" s="101" t="s">
        <v>889</v>
      </c>
    </row>
    <row r="176" customHeight="1" spans="1:10">
      <c r="A176" s="97">
        <v>134</v>
      </c>
      <c r="B176" s="97">
        <v>175</v>
      </c>
      <c r="C176" s="110">
        <v>45540</v>
      </c>
      <c r="D176" s="97" t="s">
        <v>31</v>
      </c>
      <c r="E176" s="109">
        <v>3</v>
      </c>
      <c r="F176" s="97" t="s">
        <v>465</v>
      </c>
      <c r="G176" s="109">
        <v>30</v>
      </c>
      <c r="H176" s="111" t="s">
        <v>63</v>
      </c>
      <c r="I176" s="112" t="s">
        <v>1066</v>
      </c>
      <c r="J176" s="101" t="s">
        <v>874</v>
      </c>
    </row>
    <row r="177" customHeight="1" spans="1:10">
      <c r="A177" s="97">
        <v>134</v>
      </c>
      <c r="B177" s="97">
        <v>176</v>
      </c>
      <c r="C177" s="110">
        <v>45540</v>
      </c>
      <c r="D177" s="97" t="s">
        <v>31</v>
      </c>
      <c r="E177" s="109">
        <v>3</v>
      </c>
      <c r="F177" s="97" t="s">
        <v>467</v>
      </c>
      <c r="G177" s="109">
        <v>18</v>
      </c>
      <c r="H177" s="111" t="s">
        <v>63</v>
      </c>
      <c r="I177" s="112" t="s">
        <v>1066</v>
      </c>
      <c r="J177" s="101" t="s">
        <v>874</v>
      </c>
    </row>
    <row r="178" customHeight="1" spans="1:10">
      <c r="A178" s="97">
        <v>134</v>
      </c>
      <c r="B178" s="97">
        <v>177</v>
      </c>
      <c r="C178" s="110">
        <v>45540</v>
      </c>
      <c r="D178" s="97" t="s">
        <v>31</v>
      </c>
      <c r="E178" s="109">
        <v>3</v>
      </c>
      <c r="F178" s="97" t="s">
        <v>468</v>
      </c>
      <c r="G178" s="109">
        <v>5</v>
      </c>
      <c r="H178" s="111" t="s">
        <v>63</v>
      </c>
      <c r="I178" s="112" t="s">
        <v>1066</v>
      </c>
      <c r="J178" s="101" t="s">
        <v>874</v>
      </c>
    </row>
    <row r="179" customHeight="1" spans="1:10">
      <c r="A179" s="97">
        <v>135</v>
      </c>
      <c r="B179" s="97">
        <v>178</v>
      </c>
      <c r="C179" s="110">
        <v>45540</v>
      </c>
      <c r="D179" s="97" t="s">
        <v>80</v>
      </c>
      <c r="E179" s="109">
        <v>2</v>
      </c>
      <c r="F179" s="97" t="s">
        <v>432</v>
      </c>
      <c r="G179" s="109">
        <v>55</v>
      </c>
      <c r="H179" s="111" t="s">
        <v>163</v>
      </c>
      <c r="I179" s="112" t="s">
        <v>1067</v>
      </c>
      <c r="J179" s="97" t="s">
        <v>897</v>
      </c>
    </row>
    <row r="180" customHeight="1" spans="1:10">
      <c r="A180" s="97">
        <v>136</v>
      </c>
      <c r="B180" s="97">
        <v>179</v>
      </c>
      <c r="C180" s="110">
        <v>45540</v>
      </c>
      <c r="D180" s="97" t="s">
        <v>80</v>
      </c>
      <c r="E180" s="109">
        <v>2</v>
      </c>
      <c r="F180" s="97" t="s">
        <v>470</v>
      </c>
      <c r="G180" s="109">
        <v>5</v>
      </c>
      <c r="H180" s="111" t="s">
        <v>49</v>
      </c>
      <c r="I180" s="112" t="s">
        <v>1068</v>
      </c>
      <c r="J180" s="97" t="s">
        <v>904</v>
      </c>
    </row>
    <row r="181" customHeight="1" spans="1:10">
      <c r="A181" s="97">
        <v>137</v>
      </c>
      <c r="B181" s="97">
        <v>180</v>
      </c>
      <c r="C181" s="110">
        <v>45540</v>
      </c>
      <c r="D181" s="97" t="s">
        <v>80</v>
      </c>
      <c r="E181" s="109">
        <v>2</v>
      </c>
      <c r="F181" s="97" t="s">
        <v>473</v>
      </c>
      <c r="G181" s="109">
        <v>35</v>
      </c>
      <c r="H181" s="111" t="s">
        <v>27</v>
      </c>
      <c r="I181" s="112" t="s">
        <v>1069</v>
      </c>
      <c r="J181" s="101" t="s">
        <v>858</v>
      </c>
    </row>
    <row r="182" customHeight="1" spans="1:10">
      <c r="A182" s="97">
        <v>137</v>
      </c>
      <c r="B182" s="97">
        <v>181</v>
      </c>
      <c r="C182" s="110">
        <v>45540</v>
      </c>
      <c r="D182" s="97" t="s">
        <v>80</v>
      </c>
      <c r="E182" s="109">
        <v>2</v>
      </c>
      <c r="F182" s="97" t="s">
        <v>475</v>
      </c>
      <c r="G182" s="109">
        <v>32</v>
      </c>
      <c r="H182" s="111" t="s">
        <v>27</v>
      </c>
      <c r="I182" s="112" t="s">
        <v>1069</v>
      </c>
      <c r="J182" s="101" t="s">
        <v>858</v>
      </c>
    </row>
    <row r="183" ht="57" customHeight="1" spans="1:10">
      <c r="A183" s="97">
        <v>138</v>
      </c>
      <c r="B183" s="97">
        <v>182</v>
      </c>
      <c r="C183" s="110">
        <v>45540</v>
      </c>
      <c r="D183" s="97" t="s">
        <v>87</v>
      </c>
      <c r="E183" s="109">
        <v>3</v>
      </c>
      <c r="F183" s="97" t="s">
        <v>778</v>
      </c>
      <c r="G183" s="109">
        <v>6</v>
      </c>
      <c r="H183" s="111" t="s">
        <v>33</v>
      </c>
      <c r="I183" s="113" t="s">
        <v>1070</v>
      </c>
      <c r="J183" s="101" t="s">
        <v>909</v>
      </c>
    </row>
    <row r="184" ht="57" customHeight="1" spans="1:10">
      <c r="A184" s="97">
        <v>139</v>
      </c>
      <c r="B184" s="97">
        <v>183</v>
      </c>
      <c r="C184" s="110">
        <v>45540</v>
      </c>
      <c r="D184" s="97" t="s">
        <v>87</v>
      </c>
      <c r="E184" s="109">
        <v>3</v>
      </c>
      <c r="F184" s="97" t="s">
        <v>479</v>
      </c>
      <c r="G184" s="109">
        <v>101</v>
      </c>
      <c r="H184" s="111" t="s">
        <v>33</v>
      </c>
      <c r="I184" s="113" t="s">
        <v>1070</v>
      </c>
      <c r="J184" s="97" t="s">
        <v>880</v>
      </c>
    </row>
    <row r="185" customHeight="1" spans="1:10">
      <c r="A185" s="97">
        <v>140</v>
      </c>
      <c r="B185" s="97">
        <v>184</v>
      </c>
      <c r="C185" s="110">
        <v>45540</v>
      </c>
      <c r="D185" s="97" t="s">
        <v>87</v>
      </c>
      <c r="E185" s="109">
        <v>3</v>
      </c>
      <c r="F185" s="97" t="s">
        <v>481</v>
      </c>
      <c r="G185" s="109">
        <v>29</v>
      </c>
      <c r="H185" s="111" t="s">
        <v>13</v>
      </c>
      <c r="I185" s="112" t="s">
        <v>1071</v>
      </c>
      <c r="J185" s="101" t="s">
        <v>910</v>
      </c>
    </row>
    <row r="186" customHeight="1" spans="1:10">
      <c r="A186" s="97">
        <v>141</v>
      </c>
      <c r="B186" s="97">
        <v>185</v>
      </c>
      <c r="C186" s="110">
        <v>45540</v>
      </c>
      <c r="D186" s="97" t="s">
        <v>87</v>
      </c>
      <c r="E186" s="109">
        <v>3</v>
      </c>
      <c r="F186" s="97" t="s">
        <v>779</v>
      </c>
      <c r="G186" s="109">
        <v>7</v>
      </c>
      <c r="H186" s="111" t="s">
        <v>13</v>
      </c>
      <c r="I186" s="112" t="s">
        <v>1071</v>
      </c>
      <c r="J186" s="97" t="s">
        <v>898</v>
      </c>
    </row>
    <row r="187" customHeight="1" spans="1:10">
      <c r="A187" s="97">
        <v>142</v>
      </c>
      <c r="B187" s="97">
        <v>186</v>
      </c>
      <c r="C187" s="110">
        <v>45540</v>
      </c>
      <c r="D187" s="97" t="s">
        <v>87</v>
      </c>
      <c r="E187" s="109">
        <v>3</v>
      </c>
      <c r="F187" s="97" t="s">
        <v>486</v>
      </c>
      <c r="G187" s="109">
        <v>25</v>
      </c>
      <c r="H187" s="111" t="s">
        <v>301</v>
      </c>
      <c r="I187" s="112" t="s">
        <v>1072</v>
      </c>
      <c r="J187" s="97" t="s">
        <v>903</v>
      </c>
    </row>
    <row r="188" ht="57" customHeight="1" spans="1:10">
      <c r="A188" s="97">
        <v>143</v>
      </c>
      <c r="B188" s="97">
        <v>187</v>
      </c>
      <c r="C188" s="110">
        <v>45540</v>
      </c>
      <c r="D188" s="97" t="s">
        <v>87</v>
      </c>
      <c r="E188" s="109">
        <v>3</v>
      </c>
      <c r="F188" s="97" t="s">
        <v>489</v>
      </c>
      <c r="G188" s="109">
        <v>164</v>
      </c>
      <c r="H188" s="111" t="s">
        <v>58</v>
      </c>
      <c r="I188" s="113" t="s">
        <v>1073</v>
      </c>
      <c r="J188" s="97" t="s">
        <v>880</v>
      </c>
    </row>
    <row r="189" customHeight="1" spans="1:10">
      <c r="A189" s="97">
        <v>144</v>
      </c>
      <c r="B189" s="97">
        <v>188</v>
      </c>
      <c r="C189" s="110">
        <v>45540</v>
      </c>
      <c r="D189" s="97" t="s">
        <v>87</v>
      </c>
      <c r="E189" s="109">
        <v>3</v>
      </c>
      <c r="F189" s="97" t="s">
        <v>492</v>
      </c>
      <c r="G189" s="109">
        <v>87</v>
      </c>
      <c r="H189" s="111" t="s">
        <v>77</v>
      </c>
      <c r="I189" s="112" t="s">
        <v>1074</v>
      </c>
      <c r="J189" s="97" t="s">
        <v>911</v>
      </c>
    </row>
    <row r="190" ht="57" customHeight="1" spans="1:10">
      <c r="A190" s="97">
        <v>145</v>
      </c>
      <c r="B190" s="97">
        <v>189</v>
      </c>
      <c r="C190" s="110">
        <v>45540</v>
      </c>
      <c r="D190" s="97" t="s">
        <v>87</v>
      </c>
      <c r="E190" s="109">
        <v>3</v>
      </c>
      <c r="F190" s="97" t="s">
        <v>780</v>
      </c>
      <c r="G190" s="109">
        <v>165</v>
      </c>
      <c r="H190" s="111" t="s">
        <v>73</v>
      </c>
      <c r="I190" s="113" t="s">
        <v>1075</v>
      </c>
      <c r="J190" s="101" t="s">
        <v>912</v>
      </c>
    </row>
    <row r="191" customHeight="1" spans="1:10">
      <c r="A191" s="97">
        <v>146</v>
      </c>
      <c r="B191" s="97">
        <v>190</v>
      </c>
      <c r="C191" s="110">
        <v>45540</v>
      </c>
      <c r="D191" s="97" t="s">
        <v>312</v>
      </c>
      <c r="E191" s="109">
        <v>4</v>
      </c>
      <c r="F191" s="97" t="s">
        <v>499</v>
      </c>
      <c r="G191" s="109">
        <v>21</v>
      </c>
      <c r="H191" s="111" t="s">
        <v>24</v>
      </c>
      <c r="I191" s="112" t="s">
        <v>1076</v>
      </c>
      <c r="J191" s="101" t="s">
        <v>913</v>
      </c>
    </row>
    <row r="192" customHeight="1" spans="1:10">
      <c r="A192" s="97">
        <v>147</v>
      </c>
      <c r="B192" s="97">
        <v>191</v>
      </c>
      <c r="C192" s="110">
        <v>45540</v>
      </c>
      <c r="D192" s="97" t="s">
        <v>312</v>
      </c>
      <c r="E192" s="109">
        <v>4</v>
      </c>
      <c r="F192" s="97" t="s">
        <v>462</v>
      </c>
      <c r="G192" s="109">
        <v>1</v>
      </c>
      <c r="H192" s="111" t="s">
        <v>68</v>
      </c>
      <c r="I192" s="112" t="s">
        <v>1065</v>
      </c>
      <c r="J192" s="101" t="s">
        <v>889</v>
      </c>
    </row>
    <row r="193" customHeight="1" spans="1:10">
      <c r="A193" s="97">
        <v>147</v>
      </c>
      <c r="B193" s="97">
        <v>192</v>
      </c>
      <c r="C193" s="110">
        <v>45540</v>
      </c>
      <c r="D193" s="97" t="s">
        <v>312</v>
      </c>
      <c r="E193" s="109">
        <v>4</v>
      </c>
      <c r="F193" s="97" t="s">
        <v>464</v>
      </c>
      <c r="G193" s="109">
        <v>54</v>
      </c>
      <c r="H193" s="111" t="s">
        <v>68</v>
      </c>
      <c r="I193" s="112" t="s">
        <v>1065</v>
      </c>
      <c r="J193" s="101" t="s">
        <v>889</v>
      </c>
    </row>
    <row r="194" customHeight="1" spans="1:10">
      <c r="A194" s="97">
        <v>148</v>
      </c>
      <c r="B194" s="97">
        <v>193</v>
      </c>
      <c r="C194" s="110">
        <v>45541</v>
      </c>
      <c r="D194" s="97" t="s">
        <v>11</v>
      </c>
      <c r="E194" s="109">
        <v>2</v>
      </c>
      <c r="F194" s="97" t="s">
        <v>502</v>
      </c>
      <c r="G194" s="109">
        <v>27</v>
      </c>
      <c r="H194" s="111" t="s">
        <v>301</v>
      </c>
      <c r="I194" s="112" t="s">
        <v>1077</v>
      </c>
      <c r="J194" s="97" t="s">
        <v>914</v>
      </c>
    </row>
    <row r="195" customHeight="1" spans="1:10">
      <c r="A195" s="97">
        <v>149</v>
      </c>
      <c r="B195" s="97">
        <v>194</v>
      </c>
      <c r="C195" s="110">
        <v>45541</v>
      </c>
      <c r="D195" s="97" t="s">
        <v>11</v>
      </c>
      <c r="E195" s="109">
        <v>2</v>
      </c>
      <c r="F195" s="97" t="s">
        <v>211</v>
      </c>
      <c r="G195" s="109">
        <v>40</v>
      </c>
      <c r="H195" s="111" t="s">
        <v>24</v>
      </c>
      <c r="I195" s="112" t="s">
        <v>1078</v>
      </c>
      <c r="J195" s="101" t="s">
        <v>868</v>
      </c>
    </row>
    <row r="196" customHeight="1" spans="1:10">
      <c r="A196" s="97">
        <v>149</v>
      </c>
      <c r="B196" s="97">
        <v>195</v>
      </c>
      <c r="C196" s="110">
        <v>45541</v>
      </c>
      <c r="D196" s="97" t="s">
        <v>11</v>
      </c>
      <c r="E196" s="109">
        <v>2</v>
      </c>
      <c r="F196" s="97" t="s">
        <v>211</v>
      </c>
      <c r="G196" s="109">
        <v>73</v>
      </c>
      <c r="H196" s="111" t="s">
        <v>27</v>
      </c>
      <c r="I196" s="112" t="s">
        <v>1079</v>
      </c>
      <c r="J196" s="101" t="s">
        <v>868</v>
      </c>
    </row>
    <row r="197" customHeight="1" spans="1:10">
      <c r="A197" s="97">
        <v>150</v>
      </c>
      <c r="B197" s="97">
        <v>196</v>
      </c>
      <c r="C197" s="110">
        <v>45541</v>
      </c>
      <c r="D197" s="97" t="s">
        <v>31</v>
      </c>
      <c r="E197" s="109">
        <v>3</v>
      </c>
      <c r="F197" s="97" t="s">
        <v>508</v>
      </c>
      <c r="G197" s="109">
        <v>64</v>
      </c>
      <c r="H197" s="111" t="s">
        <v>135</v>
      </c>
      <c r="I197" s="112" t="s">
        <v>1080</v>
      </c>
      <c r="J197" s="97" t="s">
        <v>915</v>
      </c>
    </row>
    <row r="198" customHeight="1" spans="1:10">
      <c r="A198" s="97">
        <v>150</v>
      </c>
      <c r="B198" s="97">
        <v>197</v>
      </c>
      <c r="C198" s="110">
        <v>45541</v>
      </c>
      <c r="D198" s="97" t="s">
        <v>31</v>
      </c>
      <c r="E198" s="109">
        <v>3</v>
      </c>
      <c r="F198" s="97" t="s">
        <v>508</v>
      </c>
      <c r="G198" s="109">
        <v>18</v>
      </c>
      <c r="H198" s="111" t="s">
        <v>246</v>
      </c>
      <c r="I198" s="112" t="s">
        <v>1081</v>
      </c>
      <c r="J198" s="97" t="s">
        <v>915</v>
      </c>
    </row>
    <row r="199" customHeight="1" spans="1:10">
      <c r="A199" s="97">
        <v>151</v>
      </c>
      <c r="B199" s="97">
        <v>198</v>
      </c>
      <c r="C199" s="110">
        <v>45541</v>
      </c>
      <c r="D199" s="97" t="s">
        <v>31</v>
      </c>
      <c r="E199" s="109">
        <v>3</v>
      </c>
      <c r="F199" s="97" t="s">
        <v>783</v>
      </c>
      <c r="G199" s="109">
        <v>31</v>
      </c>
      <c r="H199" s="111" t="s">
        <v>246</v>
      </c>
      <c r="I199" s="112" t="s">
        <v>1081</v>
      </c>
      <c r="J199" s="101" t="s">
        <v>916</v>
      </c>
    </row>
    <row r="200" customHeight="1" spans="1:10">
      <c r="A200" s="97">
        <v>151</v>
      </c>
      <c r="B200" s="97">
        <v>199</v>
      </c>
      <c r="C200" s="110">
        <v>45541</v>
      </c>
      <c r="D200" s="97" t="s">
        <v>31</v>
      </c>
      <c r="E200" s="109">
        <v>3</v>
      </c>
      <c r="F200" s="97" t="s">
        <v>783</v>
      </c>
      <c r="G200" s="109">
        <v>58</v>
      </c>
      <c r="H200" s="111" t="s">
        <v>104</v>
      </c>
      <c r="I200" s="112" t="s">
        <v>1082</v>
      </c>
      <c r="J200" s="101" t="s">
        <v>916</v>
      </c>
    </row>
    <row r="201" ht="57" customHeight="1" spans="1:10">
      <c r="A201" s="97">
        <v>152</v>
      </c>
      <c r="B201" s="97">
        <v>200</v>
      </c>
      <c r="C201" s="110">
        <v>45541</v>
      </c>
      <c r="D201" s="97" t="s">
        <v>31</v>
      </c>
      <c r="E201" s="109">
        <v>3</v>
      </c>
      <c r="F201" s="97" t="s">
        <v>516</v>
      </c>
      <c r="G201" s="109">
        <v>414</v>
      </c>
      <c r="H201" s="111" t="s">
        <v>44</v>
      </c>
      <c r="I201" s="113" t="s">
        <v>1083</v>
      </c>
      <c r="J201" s="97" t="s">
        <v>904</v>
      </c>
    </row>
    <row r="202" ht="57" customHeight="1" spans="1:10">
      <c r="A202" s="97">
        <v>153</v>
      </c>
      <c r="B202" s="97">
        <v>201</v>
      </c>
      <c r="C202" s="110">
        <v>45541</v>
      </c>
      <c r="D202" s="97" t="s">
        <v>31</v>
      </c>
      <c r="E202" s="109">
        <v>3</v>
      </c>
      <c r="F202" s="97" t="s">
        <v>519</v>
      </c>
      <c r="G202" s="109">
        <v>270</v>
      </c>
      <c r="H202" s="111" t="s">
        <v>39</v>
      </c>
      <c r="I202" s="113" t="s">
        <v>1084</v>
      </c>
      <c r="J202" s="97" t="s">
        <v>904</v>
      </c>
    </row>
    <row r="203" ht="57" customHeight="1" spans="1:10">
      <c r="A203" s="97">
        <v>153</v>
      </c>
      <c r="B203" s="97">
        <v>202</v>
      </c>
      <c r="C203" s="110">
        <v>45541</v>
      </c>
      <c r="D203" s="97" t="s">
        <v>31</v>
      </c>
      <c r="E203" s="109">
        <v>3</v>
      </c>
      <c r="F203" s="97" t="s">
        <v>519</v>
      </c>
      <c r="G203" s="109">
        <v>187</v>
      </c>
      <c r="H203" s="111" t="s">
        <v>58</v>
      </c>
      <c r="I203" s="113" t="s">
        <v>1085</v>
      </c>
      <c r="J203" s="97" t="s">
        <v>904</v>
      </c>
    </row>
    <row r="204" ht="57" customHeight="1" spans="1:10">
      <c r="A204" s="97">
        <v>154</v>
      </c>
      <c r="B204" s="97">
        <v>203</v>
      </c>
      <c r="C204" s="110">
        <v>45541</v>
      </c>
      <c r="D204" s="97" t="s">
        <v>31</v>
      </c>
      <c r="E204" s="109">
        <v>3</v>
      </c>
      <c r="F204" s="97" t="s">
        <v>784</v>
      </c>
      <c r="G204" s="109">
        <v>27</v>
      </c>
      <c r="H204" s="111" t="s">
        <v>58</v>
      </c>
      <c r="I204" s="113" t="s">
        <v>1085</v>
      </c>
      <c r="J204" s="101" t="s">
        <v>841</v>
      </c>
    </row>
    <row r="205" customHeight="1" spans="1:10">
      <c r="A205" s="97">
        <v>155</v>
      </c>
      <c r="B205" s="97">
        <v>204</v>
      </c>
      <c r="C205" s="110">
        <v>45541</v>
      </c>
      <c r="D205" s="97" t="s">
        <v>31</v>
      </c>
      <c r="E205" s="109">
        <v>3</v>
      </c>
      <c r="F205" s="97" t="s">
        <v>525</v>
      </c>
      <c r="G205" s="109">
        <v>91</v>
      </c>
      <c r="H205" s="111" t="s">
        <v>77</v>
      </c>
      <c r="I205" s="112" t="s">
        <v>1086</v>
      </c>
      <c r="J205" s="97" t="s">
        <v>828</v>
      </c>
    </row>
    <row r="206" ht="57" customHeight="1" spans="1:10">
      <c r="A206" s="97">
        <v>156</v>
      </c>
      <c r="B206" s="97">
        <v>205</v>
      </c>
      <c r="C206" s="110">
        <v>45541</v>
      </c>
      <c r="D206" s="97" t="s">
        <v>31</v>
      </c>
      <c r="E206" s="109">
        <v>3</v>
      </c>
      <c r="F206" s="97" t="s">
        <v>528</v>
      </c>
      <c r="G206" s="109">
        <v>173</v>
      </c>
      <c r="H206" s="111" t="s">
        <v>33</v>
      </c>
      <c r="I206" s="113" t="s">
        <v>1087</v>
      </c>
      <c r="J206" s="97" t="s">
        <v>917</v>
      </c>
    </row>
    <row r="207" customHeight="1" spans="1:10">
      <c r="A207" s="97">
        <v>157</v>
      </c>
      <c r="B207" s="97">
        <v>206</v>
      </c>
      <c r="C207" s="110">
        <v>45541</v>
      </c>
      <c r="D207" s="97" t="s">
        <v>31</v>
      </c>
      <c r="E207" s="109">
        <v>3</v>
      </c>
      <c r="F207" s="97" t="s">
        <v>532</v>
      </c>
      <c r="G207" s="109">
        <v>70</v>
      </c>
      <c r="H207" s="111" t="s">
        <v>13</v>
      </c>
      <c r="I207" s="112" t="s">
        <v>1088</v>
      </c>
      <c r="J207" s="97" t="s">
        <v>918</v>
      </c>
    </row>
    <row r="208" customHeight="1" spans="1:10">
      <c r="A208" s="97">
        <v>157</v>
      </c>
      <c r="B208" s="97">
        <v>207</v>
      </c>
      <c r="C208" s="110">
        <v>45541</v>
      </c>
      <c r="D208" s="97" t="s">
        <v>31</v>
      </c>
      <c r="E208" s="109">
        <v>3</v>
      </c>
      <c r="F208" s="97" t="s">
        <v>532</v>
      </c>
      <c r="G208" s="109">
        <v>31</v>
      </c>
      <c r="H208" s="111" t="s">
        <v>49</v>
      </c>
      <c r="I208" s="112" t="s">
        <v>1089</v>
      </c>
      <c r="J208" s="97" t="s">
        <v>918</v>
      </c>
    </row>
    <row r="209" customHeight="1" spans="1:10">
      <c r="A209" s="97">
        <v>158</v>
      </c>
      <c r="B209" s="97">
        <v>208</v>
      </c>
      <c r="C209" s="110">
        <v>45541</v>
      </c>
      <c r="D209" s="97" t="s">
        <v>31</v>
      </c>
      <c r="E209" s="109">
        <v>3</v>
      </c>
      <c r="F209" s="97" t="s">
        <v>785</v>
      </c>
      <c r="G209" s="109">
        <v>13</v>
      </c>
      <c r="H209" s="111" t="s">
        <v>49</v>
      </c>
      <c r="I209" s="112" t="s">
        <v>1089</v>
      </c>
      <c r="J209" s="97" t="s">
        <v>842</v>
      </c>
    </row>
    <row r="210" customHeight="1" spans="1:10">
      <c r="A210" s="97">
        <v>159</v>
      </c>
      <c r="B210" s="97">
        <v>209</v>
      </c>
      <c r="C210" s="110">
        <v>45541</v>
      </c>
      <c r="D210" s="97" t="s">
        <v>31</v>
      </c>
      <c r="E210" s="109">
        <v>3</v>
      </c>
      <c r="F210" s="97" t="s">
        <v>786</v>
      </c>
      <c r="G210" s="109">
        <v>12</v>
      </c>
      <c r="H210" s="111" t="s">
        <v>49</v>
      </c>
      <c r="I210" s="112" t="s">
        <v>1089</v>
      </c>
      <c r="J210" s="101" t="s">
        <v>919</v>
      </c>
    </row>
    <row r="211" customHeight="1" spans="1:10">
      <c r="A211" s="97">
        <v>160</v>
      </c>
      <c r="B211" s="97">
        <v>210</v>
      </c>
      <c r="C211" s="110">
        <v>45541</v>
      </c>
      <c r="D211" s="97" t="s">
        <v>31</v>
      </c>
      <c r="E211" s="109">
        <v>3</v>
      </c>
      <c r="F211" s="97" t="s">
        <v>787</v>
      </c>
      <c r="G211" s="109">
        <v>4</v>
      </c>
      <c r="H211" s="111" t="s">
        <v>53</v>
      </c>
      <c r="I211" s="112" t="s">
        <v>1090</v>
      </c>
      <c r="J211" s="101" t="s">
        <v>918</v>
      </c>
    </row>
    <row r="212" customHeight="1" spans="1:10">
      <c r="A212" s="97">
        <v>161</v>
      </c>
      <c r="B212" s="97">
        <v>211</v>
      </c>
      <c r="C212" s="110">
        <v>45541</v>
      </c>
      <c r="D212" s="97" t="s">
        <v>31</v>
      </c>
      <c r="E212" s="109">
        <v>3</v>
      </c>
      <c r="F212" s="97" t="s">
        <v>542</v>
      </c>
      <c r="G212" s="109">
        <v>50</v>
      </c>
      <c r="H212" s="111" t="s">
        <v>53</v>
      </c>
      <c r="I212" s="112" t="s">
        <v>1090</v>
      </c>
      <c r="J212" s="101" t="s">
        <v>852</v>
      </c>
    </row>
    <row r="213" customHeight="1" spans="1:10">
      <c r="A213" s="97">
        <v>162</v>
      </c>
      <c r="B213" s="97">
        <v>212</v>
      </c>
      <c r="C213" s="110">
        <v>45541</v>
      </c>
      <c r="D213" s="97" t="s">
        <v>31</v>
      </c>
      <c r="E213" s="109">
        <v>3</v>
      </c>
      <c r="F213" s="97" t="s">
        <v>543</v>
      </c>
      <c r="G213" s="109">
        <v>65</v>
      </c>
      <c r="H213" s="111" t="s">
        <v>63</v>
      </c>
      <c r="I213" s="112" t="s">
        <v>1091</v>
      </c>
      <c r="J213" s="97" t="s">
        <v>872</v>
      </c>
    </row>
    <row r="214" customHeight="1" spans="1:10">
      <c r="A214" s="97">
        <v>163</v>
      </c>
      <c r="B214" s="97">
        <v>213</v>
      </c>
      <c r="C214" s="110">
        <v>45541</v>
      </c>
      <c r="D214" s="97" t="s">
        <v>31</v>
      </c>
      <c r="E214" s="109">
        <v>3</v>
      </c>
      <c r="F214" s="97" t="s">
        <v>788</v>
      </c>
      <c r="G214" s="109">
        <v>7</v>
      </c>
      <c r="H214" s="111" t="s">
        <v>547</v>
      </c>
      <c r="I214" s="112" t="s">
        <v>1092</v>
      </c>
      <c r="J214" s="97" t="s">
        <v>900</v>
      </c>
    </row>
    <row r="215" ht="57" customHeight="1" spans="1:10">
      <c r="A215" s="97">
        <v>164</v>
      </c>
      <c r="B215" s="97">
        <v>214</v>
      </c>
      <c r="C215" s="110">
        <v>45541</v>
      </c>
      <c r="D215" s="97" t="s">
        <v>31</v>
      </c>
      <c r="E215" s="109">
        <v>3</v>
      </c>
      <c r="F215" s="97" t="s">
        <v>549</v>
      </c>
      <c r="G215" s="109">
        <v>144</v>
      </c>
      <c r="H215" s="111" t="s">
        <v>73</v>
      </c>
      <c r="I215" s="113" t="s">
        <v>1093</v>
      </c>
      <c r="J215" s="101" t="s">
        <v>837</v>
      </c>
    </row>
    <row r="216" customHeight="1" spans="1:10">
      <c r="A216" s="97">
        <v>165</v>
      </c>
      <c r="B216" s="97">
        <v>215</v>
      </c>
      <c r="C216" s="110">
        <v>45541</v>
      </c>
      <c r="D216" s="97" t="s">
        <v>80</v>
      </c>
      <c r="E216" s="109">
        <v>2</v>
      </c>
      <c r="F216" s="97" t="s">
        <v>543</v>
      </c>
      <c r="G216" s="109">
        <v>65</v>
      </c>
      <c r="H216" s="111" t="s">
        <v>246</v>
      </c>
      <c r="I216" s="112" t="s">
        <v>1094</v>
      </c>
      <c r="J216" s="97" t="s">
        <v>872</v>
      </c>
    </row>
    <row r="217" customHeight="1" spans="1:10">
      <c r="A217" s="97">
        <v>166</v>
      </c>
      <c r="B217" s="97">
        <v>216</v>
      </c>
      <c r="C217" s="110">
        <v>45541</v>
      </c>
      <c r="D217" s="97" t="s">
        <v>87</v>
      </c>
      <c r="E217" s="109">
        <v>3</v>
      </c>
      <c r="F217" s="97" t="s">
        <v>552</v>
      </c>
      <c r="G217" s="109">
        <v>51</v>
      </c>
      <c r="H217" s="111" t="s">
        <v>13</v>
      </c>
      <c r="I217" s="112" t="s">
        <v>1095</v>
      </c>
      <c r="J217" s="101" t="s">
        <v>841</v>
      </c>
    </row>
    <row r="218" customHeight="1" spans="1:10">
      <c r="A218" s="97">
        <v>167</v>
      </c>
      <c r="B218" s="97">
        <v>217</v>
      </c>
      <c r="C218" s="110">
        <v>45541</v>
      </c>
      <c r="D218" s="97" t="s">
        <v>87</v>
      </c>
      <c r="E218" s="109">
        <v>3</v>
      </c>
      <c r="F218" s="97" t="s">
        <v>789</v>
      </c>
      <c r="G218" s="109">
        <v>6</v>
      </c>
      <c r="H218" s="111" t="s">
        <v>13</v>
      </c>
      <c r="I218" s="112" t="s">
        <v>1095</v>
      </c>
      <c r="J218" s="101" t="s">
        <v>920</v>
      </c>
    </row>
    <row r="219" customHeight="1" spans="1:10">
      <c r="A219" s="97">
        <v>168</v>
      </c>
      <c r="B219" s="97">
        <v>218</v>
      </c>
      <c r="C219" s="110">
        <v>45541</v>
      </c>
      <c r="D219" s="97" t="s">
        <v>87</v>
      </c>
      <c r="E219" s="109">
        <v>3</v>
      </c>
      <c r="F219" s="97" t="s">
        <v>556</v>
      </c>
      <c r="G219" s="109">
        <v>44</v>
      </c>
      <c r="H219" s="111" t="s">
        <v>63</v>
      </c>
      <c r="I219" s="112" t="s">
        <v>1096</v>
      </c>
      <c r="J219" s="97" t="s">
        <v>879</v>
      </c>
    </row>
    <row r="220" ht="57" customHeight="1" spans="1:10">
      <c r="A220" s="97">
        <v>169</v>
      </c>
      <c r="B220" s="97">
        <v>219</v>
      </c>
      <c r="C220" s="110">
        <v>45541</v>
      </c>
      <c r="D220" s="97" t="s">
        <v>87</v>
      </c>
      <c r="E220" s="109">
        <v>3</v>
      </c>
      <c r="F220" s="97" t="s">
        <v>558</v>
      </c>
      <c r="G220" s="109">
        <v>149</v>
      </c>
      <c r="H220" s="111" t="s">
        <v>33</v>
      </c>
      <c r="I220" s="113" t="s">
        <v>1097</v>
      </c>
      <c r="J220" s="97" t="s">
        <v>921</v>
      </c>
    </row>
    <row r="221" customHeight="1" spans="1:10">
      <c r="A221" s="97">
        <v>170</v>
      </c>
      <c r="B221" s="97">
        <v>220</v>
      </c>
      <c r="C221" s="110">
        <v>45541</v>
      </c>
      <c r="D221" s="97" t="s">
        <v>87</v>
      </c>
      <c r="E221" s="109">
        <v>3</v>
      </c>
      <c r="F221" s="97" t="s">
        <v>562</v>
      </c>
      <c r="G221" s="109">
        <v>45</v>
      </c>
      <c r="H221" s="111" t="s">
        <v>49</v>
      </c>
      <c r="I221" s="112" t="s">
        <v>1098</v>
      </c>
      <c r="J221" s="101" t="s">
        <v>858</v>
      </c>
    </row>
    <row r="222" customHeight="1" spans="1:10">
      <c r="A222" s="97">
        <v>171</v>
      </c>
      <c r="B222" s="97">
        <v>221</v>
      </c>
      <c r="C222" s="110">
        <v>45541</v>
      </c>
      <c r="D222" s="97" t="s">
        <v>87</v>
      </c>
      <c r="E222" s="109">
        <v>3</v>
      </c>
      <c r="F222" s="97" t="s">
        <v>564</v>
      </c>
      <c r="G222" s="109">
        <v>43</v>
      </c>
      <c r="H222" s="111" t="s">
        <v>53</v>
      </c>
      <c r="I222" s="112" t="s">
        <v>1099</v>
      </c>
      <c r="J222" s="101" t="s">
        <v>902</v>
      </c>
    </row>
    <row r="223" customHeight="1" spans="1:10">
      <c r="A223" s="97">
        <v>172</v>
      </c>
      <c r="B223" s="97">
        <v>222</v>
      </c>
      <c r="C223" s="110">
        <v>45541</v>
      </c>
      <c r="D223" s="97" t="s">
        <v>87</v>
      </c>
      <c r="E223" s="109">
        <v>3</v>
      </c>
      <c r="F223" s="97" t="s">
        <v>566</v>
      </c>
      <c r="G223" s="109">
        <v>50</v>
      </c>
      <c r="H223" s="111" t="s">
        <v>315</v>
      </c>
      <c r="I223" s="112" t="s">
        <v>954</v>
      </c>
      <c r="J223" s="101" t="s">
        <v>836</v>
      </c>
    </row>
    <row r="224" customHeight="1" spans="1:10">
      <c r="A224" s="97">
        <v>173</v>
      </c>
      <c r="B224" s="97">
        <v>223</v>
      </c>
      <c r="C224" s="110">
        <v>45541</v>
      </c>
      <c r="D224" s="97" t="s">
        <v>87</v>
      </c>
      <c r="E224" s="109">
        <v>3</v>
      </c>
      <c r="F224" s="97" t="s">
        <v>567</v>
      </c>
      <c r="G224" s="109">
        <v>18</v>
      </c>
      <c r="H224" s="111" t="s">
        <v>77</v>
      </c>
      <c r="I224" s="112" t="s">
        <v>1100</v>
      </c>
      <c r="J224" s="97" t="s">
        <v>856</v>
      </c>
    </row>
    <row r="225" customHeight="1" spans="1:10">
      <c r="A225" s="97">
        <v>173</v>
      </c>
      <c r="B225" s="97">
        <v>224</v>
      </c>
      <c r="C225" s="110">
        <v>45541</v>
      </c>
      <c r="D225" s="97" t="s">
        <v>87</v>
      </c>
      <c r="E225" s="109">
        <v>3</v>
      </c>
      <c r="F225" s="97" t="s">
        <v>569</v>
      </c>
      <c r="G225" s="109">
        <v>59</v>
      </c>
      <c r="H225" s="111" t="s">
        <v>77</v>
      </c>
      <c r="I225" s="112" t="s">
        <v>1100</v>
      </c>
      <c r="J225" s="97" t="s">
        <v>856</v>
      </c>
    </row>
    <row r="226" ht="57" customHeight="1" spans="1:10">
      <c r="A226" s="97">
        <v>174</v>
      </c>
      <c r="B226" s="97">
        <v>225</v>
      </c>
      <c r="C226" s="110">
        <v>45542</v>
      </c>
      <c r="D226" s="97" t="s">
        <v>11</v>
      </c>
      <c r="E226" s="109">
        <v>2</v>
      </c>
      <c r="F226" s="97" t="s">
        <v>570</v>
      </c>
      <c r="G226" s="109">
        <v>413</v>
      </c>
      <c r="H226" s="111" t="s">
        <v>44</v>
      </c>
      <c r="I226" s="113" t="s">
        <v>1101</v>
      </c>
      <c r="J226" s="97" t="s">
        <v>922</v>
      </c>
    </row>
    <row r="227" ht="57" customHeight="1" spans="1:10">
      <c r="A227" s="97">
        <v>175</v>
      </c>
      <c r="B227" s="97">
        <v>226</v>
      </c>
      <c r="C227" s="110">
        <v>45542</v>
      </c>
      <c r="D227" s="97" t="s">
        <v>11</v>
      </c>
      <c r="E227" s="109">
        <v>2</v>
      </c>
      <c r="F227" s="97" t="s">
        <v>575</v>
      </c>
      <c r="G227" s="109">
        <v>280</v>
      </c>
      <c r="H227" s="111" t="s">
        <v>39</v>
      </c>
      <c r="I227" s="113" t="s">
        <v>1102</v>
      </c>
      <c r="J227" s="97" t="s">
        <v>922</v>
      </c>
    </row>
    <row r="228" ht="57" customHeight="1" spans="1:10">
      <c r="A228" s="97">
        <v>175</v>
      </c>
      <c r="B228" s="97">
        <v>227</v>
      </c>
      <c r="C228" s="110">
        <v>45542</v>
      </c>
      <c r="D228" s="97" t="s">
        <v>11</v>
      </c>
      <c r="E228" s="109">
        <v>2</v>
      </c>
      <c r="F228" s="97" t="s">
        <v>575</v>
      </c>
      <c r="G228" s="109">
        <v>155</v>
      </c>
      <c r="H228" s="111" t="s">
        <v>33</v>
      </c>
      <c r="I228" s="113" t="s">
        <v>1103</v>
      </c>
      <c r="J228" s="97" t="s">
        <v>922</v>
      </c>
    </row>
    <row r="229" customHeight="1" spans="1:10">
      <c r="A229" s="97">
        <v>176</v>
      </c>
      <c r="B229" s="97">
        <v>228</v>
      </c>
      <c r="C229" s="110">
        <v>45542</v>
      </c>
      <c r="D229" s="97" t="s">
        <v>11</v>
      </c>
      <c r="E229" s="109">
        <v>2</v>
      </c>
      <c r="F229" s="97" t="s">
        <v>579</v>
      </c>
      <c r="G229" s="109">
        <v>70</v>
      </c>
      <c r="H229" s="111" t="s">
        <v>13</v>
      </c>
      <c r="I229" s="112" t="s">
        <v>1104</v>
      </c>
      <c r="J229" s="97" t="s">
        <v>828</v>
      </c>
    </row>
    <row r="230" customHeight="1" spans="1:10">
      <c r="A230" s="97">
        <v>176</v>
      </c>
      <c r="B230" s="97">
        <v>229</v>
      </c>
      <c r="C230" s="110">
        <v>45542</v>
      </c>
      <c r="D230" s="97" t="s">
        <v>11</v>
      </c>
      <c r="E230" s="109">
        <v>2</v>
      </c>
      <c r="F230" s="97" t="s">
        <v>581</v>
      </c>
      <c r="G230" s="109">
        <v>22</v>
      </c>
      <c r="H230" s="111" t="s">
        <v>49</v>
      </c>
      <c r="I230" s="112" t="s">
        <v>1105</v>
      </c>
      <c r="J230" s="97" t="s">
        <v>828</v>
      </c>
    </row>
    <row r="231" ht="57" customHeight="1" spans="1:10">
      <c r="A231" s="97">
        <v>177</v>
      </c>
      <c r="B231" s="97">
        <v>230</v>
      </c>
      <c r="C231" s="110">
        <v>45542</v>
      </c>
      <c r="D231" s="97" t="s">
        <v>11</v>
      </c>
      <c r="E231" s="109">
        <v>2</v>
      </c>
      <c r="F231" s="97" t="s">
        <v>583</v>
      </c>
      <c r="G231" s="109">
        <v>265</v>
      </c>
      <c r="H231" s="111" t="s">
        <v>58</v>
      </c>
      <c r="I231" s="113" t="s">
        <v>1106</v>
      </c>
      <c r="J231" s="97" t="s">
        <v>839</v>
      </c>
    </row>
    <row r="232" ht="57" customHeight="1" spans="1:10">
      <c r="A232" s="97">
        <v>177</v>
      </c>
      <c r="B232" s="97">
        <v>231</v>
      </c>
      <c r="C232" s="110">
        <v>45542</v>
      </c>
      <c r="D232" s="97" t="s">
        <v>11</v>
      </c>
      <c r="E232" s="109">
        <v>2</v>
      </c>
      <c r="F232" s="97" t="s">
        <v>585</v>
      </c>
      <c r="G232" s="109">
        <v>177</v>
      </c>
      <c r="H232" s="111" t="s">
        <v>73</v>
      </c>
      <c r="I232" s="113" t="s">
        <v>1107</v>
      </c>
      <c r="J232" s="97" t="s">
        <v>839</v>
      </c>
    </row>
    <row r="233" customHeight="1" spans="1:10">
      <c r="A233" s="97">
        <v>178</v>
      </c>
      <c r="B233" s="97">
        <v>232</v>
      </c>
      <c r="C233" s="110">
        <v>45542</v>
      </c>
      <c r="D233" s="97" t="s">
        <v>31</v>
      </c>
      <c r="E233" s="109">
        <v>3</v>
      </c>
      <c r="F233" s="97" t="s">
        <v>587</v>
      </c>
      <c r="G233" s="109">
        <v>58</v>
      </c>
      <c r="H233" s="111" t="s">
        <v>53</v>
      </c>
      <c r="I233" s="112" t="s">
        <v>1108</v>
      </c>
      <c r="J233" s="101" t="s">
        <v>884</v>
      </c>
    </row>
    <row r="234" customHeight="1" spans="1:10">
      <c r="A234" s="97">
        <v>179</v>
      </c>
      <c r="B234" s="97">
        <v>233</v>
      </c>
      <c r="C234" s="110">
        <v>45542</v>
      </c>
      <c r="D234" s="97" t="s">
        <v>31</v>
      </c>
      <c r="E234" s="109">
        <v>3</v>
      </c>
      <c r="F234" s="97" t="s">
        <v>589</v>
      </c>
      <c r="G234" s="109">
        <v>92</v>
      </c>
      <c r="H234" s="111" t="s">
        <v>77</v>
      </c>
      <c r="I234" s="112" t="s">
        <v>1109</v>
      </c>
      <c r="J234" s="97" t="s">
        <v>923</v>
      </c>
    </row>
    <row r="235" customHeight="1" spans="1:10">
      <c r="A235" s="97">
        <v>180</v>
      </c>
      <c r="B235" s="97">
        <v>234</v>
      </c>
      <c r="C235" s="110">
        <v>45542</v>
      </c>
      <c r="D235" s="97" t="s">
        <v>31</v>
      </c>
      <c r="E235" s="109">
        <v>3</v>
      </c>
      <c r="F235" s="97" t="s">
        <v>593</v>
      </c>
      <c r="G235" s="109">
        <v>49</v>
      </c>
      <c r="H235" s="111" t="s">
        <v>63</v>
      </c>
      <c r="I235" s="112" t="s">
        <v>1110</v>
      </c>
      <c r="J235" s="101" t="s">
        <v>919</v>
      </c>
    </row>
    <row r="236" customHeight="1" spans="1:10">
      <c r="A236" s="97">
        <v>181</v>
      </c>
      <c r="B236" s="97">
        <v>235</v>
      </c>
      <c r="C236" s="110">
        <v>45542</v>
      </c>
      <c r="D236" s="97" t="s">
        <v>31</v>
      </c>
      <c r="E236" s="109">
        <v>3</v>
      </c>
      <c r="F236" s="97" t="s">
        <v>792</v>
      </c>
      <c r="G236" s="109">
        <v>12</v>
      </c>
      <c r="H236" s="111" t="s">
        <v>63</v>
      </c>
      <c r="I236" s="112" t="s">
        <v>1110</v>
      </c>
      <c r="J236" s="97" t="s">
        <v>924</v>
      </c>
    </row>
    <row r="237" customHeight="1" spans="1:10">
      <c r="A237" s="97">
        <v>182</v>
      </c>
      <c r="B237" s="97">
        <v>236</v>
      </c>
      <c r="C237" s="110">
        <v>45542</v>
      </c>
      <c r="D237" s="97" t="s">
        <v>31</v>
      </c>
      <c r="E237" s="109">
        <v>3</v>
      </c>
      <c r="F237" s="97" t="s">
        <v>598</v>
      </c>
      <c r="G237" s="109">
        <v>80</v>
      </c>
      <c r="H237" s="111" t="s">
        <v>68</v>
      </c>
      <c r="I237" s="112" t="s">
        <v>954</v>
      </c>
      <c r="J237" s="101" t="s">
        <v>836</v>
      </c>
    </row>
    <row r="238" customHeight="1" spans="1:10">
      <c r="A238" s="97">
        <v>183</v>
      </c>
      <c r="B238" s="97">
        <v>237</v>
      </c>
      <c r="C238" s="110">
        <v>45542</v>
      </c>
      <c r="D238" s="97" t="s">
        <v>31</v>
      </c>
      <c r="E238" s="109">
        <v>3</v>
      </c>
      <c r="F238" s="97" t="s">
        <v>599</v>
      </c>
      <c r="G238" s="109">
        <v>70</v>
      </c>
      <c r="H238" s="111" t="s">
        <v>600</v>
      </c>
      <c r="I238" s="112" t="s">
        <v>1111</v>
      </c>
      <c r="J238" s="101" t="s">
        <v>925</v>
      </c>
    </row>
    <row r="239" customHeight="1" spans="1:10">
      <c r="A239" s="97">
        <v>183</v>
      </c>
      <c r="B239" s="97">
        <v>238</v>
      </c>
      <c r="C239" s="110">
        <v>45542</v>
      </c>
      <c r="D239" s="97" t="s">
        <v>31</v>
      </c>
      <c r="E239" s="109">
        <v>3</v>
      </c>
      <c r="F239" s="97" t="s">
        <v>603</v>
      </c>
      <c r="G239" s="109">
        <v>41</v>
      </c>
      <c r="H239" s="111" t="s">
        <v>604</v>
      </c>
      <c r="I239" s="112" t="s">
        <v>1112</v>
      </c>
      <c r="J239" s="101" t="s">
        <v>925</v>
      </c>
    </row>
    <row r="240" ht="57" customHeight="1" spans="1:10">
      <c r="A240" s="97">
        <v>184</v>
      </c>
      <c r="B240" s="97">
        <v>239</v>
      </c>
      <c r="C240" s="110">
        <v>45542</v>
      </c>
      <c r="D240" s="97" t="s">
        <v>80</v>
      </c>
      <c r="E240" s="109">
        <v>2</v>
      </c>
      <c r="F240" s="97" t="s">
        <v>606</v>
      </c>
      <c r="G240" s="109">
        <v>163</v>
      </c>
      <c r="H240" s="111" t="s">
        <v>33</v>
      </c>
      <c r="I240" s="113" t="s">
        <v>1113</v>
      </c>
      <c r="J240" s="97" t="s">
        <v>922</v>
      </c>
    </row>
    <row r="241" ht="57" customHeight="1" spans="1:10">
      <c r="A241" s="97">
        <v>185</v>
      </c>
      <c r="B241" s="97">
        <v>240</v>
      </c>
      <c r="C241" s="110">
        <v>45542</v>
      </c>
      <c r="D241" s="97" t="s">
        <v>80</v>
      </c>
      <c r="E241" s="109">
        <v>2</v>
      </c>
      <c r="F241" s="97" t="s">
        <v>609</v>
      </c>
      <c r="G241" s="109">
        <v>359</v>
      </c>
      <c r="H241" s="111" t="s">
        <v>44</v>
      </c>
      <c r="I241" s="113" t="s">
        <v>1114</v>
      </c>
      <c r="J241" s="97" t="s">
        <v>842</v>
      </c>
    </row>
    <row r="242" customHeight="1" spans="1:10">
      <c r="A242" s="97">
        <v>186</v>
      </c>
      <c r="B242" s="97">
        <v>241</v>
      </c>
      <c r="C242" s="110">
        <v>45542</v>
      </c>
      <c r="D242" s="97" t="s">
        <v>87</v>
      </c>
      <c r="E242" s="109">
        <v>3</v>
      </c>
      <c r="F242" s="97" t="s">
        <v>612</v>
      </c>
      <c r="G242" s="109">
        <v>49</v>
      </c>
      <c r="H242" s="111" t="s">
        <v>13</v>
      </c>
      <c r="I242" s="112" t="s">
        <v>1115</v>
      </c>
      <c r="J242" s="101" t="s">
        <v>897</v>
      </c>
    </row>
    <row r="243" customHeight="1" spans="1:10">
      <c r="A243" s="97">
        <v>187</v>
      </c>
      <c r="B243" s="97">
        <v>242</v>
      </c>
      <c r="C243" s="110">
        <v>45542</v>
      </c>
      <c r="D243" s="97" t="s">
        <v>87</v>
      </c>
      <c r="E243" s="109">
        <v>3</v>
      </c>
      <c r="F243" s="97" t="s">
        <v>795</v>
      </c>
      <c r="G243" s="109">
        <v>13</v>
      </c>
      <c r="H243" s="111" t="s">
        <v>13</v>
      </c>
      <c r="I243" s="112" t="s">
        <v>1115</v>
      </c>
      <c r="J243" s="97" t="s">
        <v>926</v>
      </c>
    </row>
    <row r="244" customHeight="1" spans="1:10">
      <c r="A244" s="97">
        <v>188</v>
      </c>
      <c r="B244" s="97">
        <v>243</v>
      </c>
      <c r="C244" s="110">
        <v>45542</v>
      </c>
      <c r="D244" s="97" t="s">
        <v>87</v>
      </c>
      <c r="E244" s="109">
        <v>3</v>
      </c>
      <c r="F244" s="97" t="s">
        <v>617</v>
      </c>
      <c r="G244" s="109">
        <v>45</v>
      </c>
      <c r="H244" s="111" t="s">
        <v>49</v>
      </c>
      <c r="I244" s="112" t="s">
        <v>1116</v>
      </c>
      <c r="J244" s="101" t="s">
        <v>861</v>
      </c>
    </row>
    <row r="245" customHeight="1" spans="1:10">
      <c r="A245" s="97">
        <v>189</v>
      </c>
      <c r="B245" s="97">
        <v>244</v>
      </c>
      <c r="C245" s="110">
        <v>45542</v>
      </c>
      <c r="D245" s="97" t="s">
        <v>87</v>
      </c>
      <c r="E245" s="109">
        <v>3</v>
      </c>
      <c r="F245" s="97" t="s">
        <v>796</v>
      </c>
      <c r="G245" s="109">
        <v>7</v>
      </c>
      <c r="H245" s="111" t="s">
        <v>53</v>
      </c>
      <c r="I245" s="112" t="s">
        <v>1117</v>
      </c>
      <c r="J245" s="101" t="s">
        <v>854</v>
      </c>
    </row>
    <row r="246" customHeight="1" spans="1:10">
      <c r="A246" s="97">
        <v>190</v>
      </c>
      <c r="B246" s="97">
        <v>245</v>
      </c>
      <c r="C246" s="110">
        <v>45542</v>
      </c>
      <c r="D246" s="97" t="s">
        <v>87</v>
      </c>
      <c r="E246" s="109">
        <v>3</v>
      </c>
      <c r="F246" s="97" t="s">
        <v>621</v>
      </c>
      <c r="G246" s="109">
        <v>22</v>
      </c>
      <c r="H246" s="111" t="s">
        <v>53</v>
      </c>
      <c r="I246" s="112" t="s">
        <v>1117</v>
      </c>
      <c r="J246" s="101" t="s">
        <v>854</v>
      </c>
    </row>
    <row r="247" customHeight="1" spans="1:10">
      <c r="A247" s="97">
        <v>191</v>
      </c>
      <c r="B247" s="97">
        <v>246</v>
      </c>
      <c r="C247" s="110">
        <v>45542</v>
      </c>
      <c r="D247" s="97" t="s">
        <v>87</v>
      </c>
      <c r="E247" s="109">
        <v>3</v>
      </c>
      <c r="F247" s="97" t="s">
        <v>599</v>
      </c>
      <c r="G247" s="109">
        <v>70</v>
      </c>
      <c r="H247" s="111" t="s">
        <v>600</v>
      </c>
      <c r="I247" s="112" t="s">
        <v>1118</v>
      </c>
      <c r="J247" s="101" t="s">
        <v>925</v>
      </c>
    </row>
    <row r="248" customHeight="1" spans="1:10">
      <c r="A248" s="97">
        <v>191</v>
      </c>
      <c r="B248" s="97">
        <v>247</v>
      </c>
      <c r="C248" s="110">
        <v>45542</v>
      </c>
      <c r="D248" s="97" t="s">
        <v>87</v>
      </c>
      <c r="E248" s="109">
        <v>3</v>
      </c>
      <c r="F248" s="97" t="s">
        <v>603</v>
      </c>
      <c r="G248" s="109">
        <v>41</v>
      </c>
      <c r="H248" s="111" t="s">
        <v>604</v>
      </c>
      <c r="I248" s="112" t="s">
        <v>1119</v>
      </c>
      <c r="J248" s="101" t="s">
        <v>925</v>
      </c>
    </row>
    <row r="249" customHeight="1" spans="1:10">
      <c r="A249" s="97">
        <v>192</v>
      </c>
      <c r="B249" s="97">
        <v>248</v>
      </c>
      <c r="C249" s="110">
        <v>45542</v>
      </c>
      <c r="D249" s="97" t="s">
        <v>87</v>
      </c>
      <c r="E249" s="109">
        <v>3</v>
      </c>
      <c r="F249" s="97" t="s">
        <v>624</v>
      </c>
      <c r="G249" s="109">
        <v>29</v>
      </c>
      <c r="H249" s="111" t="s">
        <v>77</v>
      </c>
      <c r="I249" s="112" t="s">
        <v>1120</v>
      </c>
      <c r="J249" s="101" t="s">
        <v>871</v>
      </c>
    </row>
    <row r="250" customHeight="1" spans="1:10">
      <c r="A250" s="97">
        <v>192</v>
      </c>
      <c r="B250" s="97">
        <v>249</v>
      </c>
      <c r="C250" s="110">
        <v>45542</v>
      </c>
      <c r="D250" s="97" t="s">
        <v>87</v>
      </c>
      <c r="E250" s="109">
        <v>3</v>
      </c>
      <c r="F250" s="97" t="s">
        <v>626</v>
      </c>
      <c r="G250" s="109">
        <v>6</v>
      </c>
      <c r="H250" s="111" t="s">
        <v>77</v>
      </c>
      <c r="I250" s="112" t="s">
        <v>1120</v>
      </c>
      <c r="J250" s="101" t="s">
        <v>871</v>
      </c>
    </row>
    <row r="251" customHeight="1" spans="1:10">
      <c r="A251" s="97">
        <v>192</v>
      </c>
      <c r="B251" s="97">
        <v>250</v>
      </c>
      <c r="C251" s="110">
        <v>45542</v>
      </c>
      <c r="D251" s="97" t="s">
        <v>87</v>
      </c>
      <c r="E251" s="109">
        <v>3</v>
      </c>
      <c r="F251" s="97" t="s">
        <v>627</v>
      </c>
      <c r="G251" s="109">
        <v>50</v>
      </c>
      <c r="H251" s="111" t="s">
        <v>77</v>
      </c>
      <c r="I251" s="112" t="s">
        <v>1120</v>
      </c>
      <c r="J251" s="101" t="s">
        <v>871</v>
      </c>
    </row>
    <row r="252" customHeight="1" spans="1:10">
      <c r="A252" s="97">
        <v>193</v>
      </c>
      <c r="B252" s="97">
        <v>251</v>
      </c>
      <c r="C252" s="110">
        <v>45542</v>
      </c>
      <c r="D252" s="97" t="s">
        <v>87</v>
      </c>
      <c r="E252" s="109">
        <v>3</v>
      </c>
      <c r="F252" s="97" t="s">
        <v>628</v>
      </c>
      <c r="G252" s="109">
        <v>45</v>
      </c>
      <c r="H252" s="111" t="s">
        <v>63</v>
      </c>
      <c r="I252" s="112" t="s">
        <v>1121</v>
      </c>
      <c r="J252" s="101" t="s">
        <v>927</v>
      </c>
    </row>
    <row r="253" customHeight="1" spans="1:10">
      <c r="A253" s="97">
        <v>194</v>
      </c>
      <c r="B253" s="97">
        <v>252</v>
      </c>
      <c r="C253" s="110">
        <v>45542</v>
      </c>
      <c r="D253" s="97" t="s">
        <v>87</v>
      </c>
      <c r="E253" s="109">
        <v>3</v>
      </c>
      <c r="F253" s="97" t="s">
        <v>928</v>
      </c>
      <c r="G253" s="109">
        <v>5</v>
      </c>
      <c r="H253" s="111" t="s">
        <v>63</v>
      </c>
      <c r="I253" s="112" t="s">
        <v>1121</v>
      </c>
      <c r="J253" s="101" t="s">
        <v>927</v>
      </c>
    </row>
    <row r="254" customHeight="1" spans="1:10">
      <c r="A254" s="97">
        <v>195</v>
      </c>
      <c r="B254" s="97">
        <v>253</v>
      </c>
      <c r="C254" s="110">
        <v>45542</v>
      </c>
      <c r="D254" s="97" t="s">
        <v>312</v>
      </c>
      <c r="E254" s="109">
        <v>4</v>
      </c>
      <c r="F254" s="97" t="s">
        <v>598</v>
      </c>
      <c r="G254" s="109">
        <v>80</v>
      </c>
      <c r="H254" s="111" t="s">
        <v>68</v>
      </c>
      <c r="I254" s="112" t="s">
        <v>954</v>
      </c>
      <c r="J254" s="101" t="s">
        <v>836</v>
      </c>
    </row>
    <row r="255" customHeight="1" spans="1:10">
      <c r="A255" s="97">
        <v>196</v>
      </c>
      <c r="B255" s="97">
        <v>254</v>
      </c>
      <c r="C255" s="110">
        <v>45543</v>
      </c>
      <c r="D255" s="97" t="s">
        <v>11</v>
      </c>
      <c r="E255" s="109">
        <v>2</v>
      </c>
      <c r="F255" s="97" t="s">
        <v>632</v>
      </c>
      <c r="G255" s="109">
        <v>29</v>
      </c>
      <c r="H255" s="111" t="s">
        <v>13</v>
      </c>
      <c r="I255" s="112" t="s">
        <v>1122</v>
      </c>
      <c r="J255" s="97" t="s">
        <v>835</v>
      </c>
    </row>
    <row r="256" customHeight="1" spans="1:10">
      <c r="A256" s="97">
        <v>197</v>
      </c>
      <c r="B256" s="97">
        <v>255</v>
      </c>
      <c r="C256" s="110">
        <v>45543</v>
      </c>
      <c r="D256" s="97" t="s">
        <v>11</v>
      </c>
      <c r="E256" s="109">
        <v>2</v>
      </c>
      <c r="F256" s="97" t="s">
        <v>801</v>
      </c>
      <c r="G256" s="109">
        <v>12</v>
      </c>
      <c r="H256" s="111" t="s">
        <v>13</v>
      </c>
      <c r="I256" s="112" t="s">
        <v>1122</v>
      </c>
      <c r="J256" s="97" t="s">
        <v>828</v>
      </c>
    </row>
    <row r="257" customHeight="1" spans="1:10">
      <c r="A257" s="97">
        <v>198</v>
      </c>
      <c r="B257" s="97">
        <v>256</v>
      </c>
      <c r="C257" s="110">
        <v>45543</v>
      </c>
      <c r="D257" s="97" t="s">
        <v>11</v>
      </c>
      <c r="E257" s="109">
        <v>2</v>
      </c>
      <c r="F257" s="97" t="s">
        <v>636</v>
      </c>
      <c r="G257" s="109">
        <v>12</v>
      </c>
      <c r="H257" s="111" t="s">
        <v>77</v>
      </c>
      <c r="I257" s="112" t="s">
        <v>1123</v>
      </c>
      <c r="J257" s="97" t="s">
        <v>880</v>
      </c>
    </row>
    <row r="258" customHeight="1" spans="1:10">
      <c r="A258" s="97">
        <v>198</v>
      </c>
      <c r="B258" s="97">
        <v>257</v>
      </c>
      <c r="C258" s="110">
        <v>45543</v>
      </c>
      <c r="D258" s="97" t="s">
        <v>11</v>
      </c>
      <c r="E258" s="109">
        <v>2</v>
      </c>
      <c r="F258" s="97" t="s">
        <v>639</v>
      </c>
      <c r="G258" s="109">
        <v>76</v>
      </c>
      <c r="H258" s="111" t="s">
        <v>77</v>
      </c>
      <c r="I258" s="112" t="s">
        <v>1123</v>
      </c>
      <c r="J258" s="97" t="s">
        <v>880</v>
      </c>
    </row>
    <row r="259" customHeight="1" spans="1:10">
      <c r="A259" s="97">
        <v>199</v>
      </c>
      <c r="B259" s="97">
        <v>258</v>
      </c>
      <c r="C259" s="110">
        <v>45543</v>
      </c>
      <c r="D259" s="97" t="s">
        <v>11</v>
      </c>
      <c r="E259" s="109">
        <v>2</v>
      </c>
      <c r="F259" s="97" t="s">
        <v>803</v>
      </c>
      <c r="G259" s="109">
        <v>58</v>
      </c>
      <c r="H259" s="111" t="s">
        <v>49</v>
      </c>
      <c r="I259" s="112" t="s">
        <v>1124</v>
      </c>
      <c r="J259" s="101" t="s">
        <v>868</v>
      </c>
    </row>
    <row r="260" ht="57" customHeight="1" spans="1:10">
      <c r="A260" s="97">
        <v>200</v>
      </c>
      <c r="B260" s="97">
        <v>259</v>
      </c>
      <c r="C260" s="110">
        <v>45543</v>
      </c>
      <c r="D260" s="97" t="s">
        <v>11</v>
      </c>
      <c r="E260" s="109">
        <v>2</v>
      </c>
      <c r="F260" s="97" t="s">
        <v>642</v>
      </c>
      <c r="G260" s="109">
        <v>113</v>
      </c>
      <c r="H260" s="111" t="s">
        <v>33</v>
      </c>
      <c r="I260" s="113" t="s">
        <v>1125</v>
      </c>
      <c r="J260" s="101" t="s">
        <v>906</v>
      </c>
    </row>
    <row r="261" ht="57" customHeight="1" spans="1:10">
      <c r="A261" s="97">
        <v>201</v>
      </c>
      <c r="B261" s="97">
        <v>260</v>
      </c>
      <c r="C261" s="110">
        <v>45543</v>
      </c>
      <c r="D261" s="97" t="s">
        <v>644</v>
      </c>
      <c r="E261" s="109">
        <v>1</v>
      </c>
      <c r="F261" s="97" t="s">
        <v>645</v>
      </c>
      <c r="G261" s="109">
        <v>113</v>
      </c>
      <c r="H261" s="111" t="s">
        <v>33</v>
      </c>
      <c r="I261" s="113" t="s">
        <v>1125</v>
      </c>
      <c r="J261" s="101" t="s">
        <v>906</v>
      </c>
    </row>
    <row r="262" ht="57" customHeight="1" spans="1:10">
      <c r="A262" s="97">
        <v>202</v>
      </c>
      <c r="B262" s="97">
        <v>261</v>
      </c>
      <c r="C262" s="110">
        <v>45543</v>
      </c>
      <c r="D262" s="97" t="s">
        <v>31</v>
      </c>
      <c r="E262" s="109">
        <v>3</v>
      </c>
      <c r="F262" s="97" t="s">
        <v>804</v>
      </c>
      <c r="G262" s="109">
        <v>173</v>
      </c>
      <c r="H262" s="111" t="s">
        <v>44</v>
      </c>
      <c r="I262" s="113" t="s">
        <v>1126</v>
      </c>
      <c r="J262" s="97" t="s">
        <v>929</v>
      </c>
    </row>
    <row r="263" ht="57" customHeight="1" spans="1:10">
      <c r="A263" s="97">
        <v>203</v>
      </c>
      <c r="B263" s="97">
        <v>262</v>
      </c>
      <c r="C263" s="110">
        <v>45543</v>
      </c>
      <c r="D263" s="97" t="s">
        <v>31</v>
      </c>
      <c r="E263" s="109">
        <v>3</v>
      </c>
      <c r="F263" s="97" t="s">
        <v>930</v>
      </c>
      <c r="G263" s="109">
        <v>143</v>
      </c>
      <c r="H263" s="111" t="s">
        <v>44</v>
      </c>
      <c r="I263" s="113" t="s">
        <v>1126</v>
      </c>
      <c r="J263" s="97" t="s">
        <v>931</v>
      </c>
    </row>
    <row r="264" ht="57" customHeight="1" spans="1:10">
      <c r="A264" s="97">
        <v>204</v>
      </c>
      <c r="B264" s="97">
        <v>263</v>
      </c>
      <c r="C264" s="110">
        <v>45543</v>
      </c>
      <c r="D264" s="97" t="s">
        <v>31</v>
      </c>
      <c r="E264" s="109">
        <v>3</v>
      </c>
      <c r="F264" s="97" t="s">
        <v>1127</v>
      </c>
      <c r="G264" s="109">
        <v>57</v>
      </c>
      <c r="H264" s="111" t="s">
        <v>73</v>
      </c>
      <c r="I264" s="113" t="s">
        <v>1128</v>
      </c>
      <c r="J264" s="101" t="s">
        <v>932</v>
      </c>
    </row>
    <row r="265" ht="57" customHeight="1" spans="1:10">
      <c r="A265" s="97">
        <v>204</v>
      </c>
      <c r="B265" s="97">
        <v>264</v>
      </c>
      <c r="C265" s="110">
        <v>45543</v>
      </c>
      <c r="D265" s="97" t="s">
        <v>31</v>
      </c>
      <c r="E265" s="109">
        <v>3</v>
      </c>
      <c r="F265" s="97" t="s">
        <v>1129</v>
      </c>
      <c r="G265" s="109">
        <v>53</v>
      </c>
      <c r="H265" s="111" t="s">
        <v>73</v>
      </c>
      <c r="I265" s="113" t="s">
        <v>1128</v>
      </c>
      <c r="J265" s="101" t="s">
        <v>932</v>
      </c>
    </row>
    <row r="266" customHeight="1" spans="1:10">
      <c r="A266" s="97">
        <v>205</v>
      </c>
      <c r="B266" s="97">
        <v>265</v>
      </c>
      <c r="C266" s="110">
        <v>45543</v>
      </c>
      <c r="D266" s="97" t="s">
        <v>31</v>
      </c>
      <c r="E266" s="109">
        <v>3</v>
      </c>
      <c r="F266" s="97" t="s">
        <v>656</v>
      </c>
      <c r="G266" s="109">
        <v>60</v>
      </c>
      <c r="H266" s="111" t="s">
        <v>53</v>
      </c>
      <c r="I266" s="112" t="s">
        <v>1130</v>
      </c>
      <c r="J266" s="101" t="s">
        <v>931</v>
      </c>
    </row>
    <row r="267" customHeight="1" spans="1:10">
      <c r="A267" s="97">
        <v>206</v>
      </c>
      <c r="B267" s="97">
        <v>266</v>
      </c>
      <c r="C267" s="110">
        <v>45543</v>
      </c>
      <c r="D267" s="97" t="s">
        <v>31</v>
      </c>
      <c r="E267" s="109">
        <v>3</v>
      </c>
      <c r="F267" s="97" t="s">
        <v>806</v>
      </c>
      <c r="G267" s="109">
        <v>3</v>
      </c>
      <c r="H267" s="111" t="s">
        <v>53</v>
      </c>
      <c r="I267" s="112" t="s">
        <v>1130</v>
      </c>
      <c r="J267" s="101" t="s">
        <v>905</v>
      </c>
    </row>
    <row r="268" ht="57" customHeight="1" spans="1:10">
      <c r="A268" s="97">
        <v>207</v>
      </c>
      <c r="B268" s="97">
        <v>267</v>
      </c>
      <c r="C268" s="110">
        <v>45543</v>
      </c>
      <c r="D268" s="97" t="s">
        <v>31</v>
      </c>
      <c r="E268" s="109">
        <v>3</v>
      </c>
      <c r="F268" s="97" t="s">
        <v>659</v>
      </c>
      <c r="G268" s="109">
        <v>36</v>
      </c>
      <c r="H268" s="111" t="s">
        <v>39</v>
      </c>
      <c r="I268" s="113" t="s">
        <v>1131</v>
      </c>
      <c r="J268" s="97" t="s">
        <v>933</v>
      </c>
    </row>
    <row r="269" ht="57" customHeight="1" spans="1:10">
      <c r="A269" s="97">
        <v>208</v>
      </c>
      <c r="B269" s="97">
        <v>268</v>
      </c>
      <c r="C269" s="110">
        <v>45543</v>
      </c>
      <c r="D269" s="97" t="s">
        <v>31</v>
      </c>
      <c r="E269" s="109">
        <v>3</v>
      </c>
      <c r="F269" s="97" t="s">
        <v>664</v>
      </c>
      <c r="G269" s="109">
        <v>174</v>
      </c>
      <c r="H269" s="111" t="s">
        <v>39</v>
      </c>
      <c r="I269" s="113" t="s">
        <v>1131</v>
      </c>
      <c r="J269" s="97" t="s">
        <v>891</v>
      </c>
    </row>
    <row r="270" customHeight="1" spans="1:10">
      <c r="A270" s="97">
        <v>209</v>
      </c>
      <c r="B270" s="97">
        <v>269</v>
      </c>
      <c r="C270" s="110">
        <v>45543</v>
      </c>
      <c r="D270" s="97" t="s">
        <v>31</v>
      </c>
      <c r="E270" s="109">
        <v>3</v>
      </c>
      <c r="F270" s="97" t="s">
        <v>666</v>
      </c>
      <c r="G270" s="109">
        <v>13</v>
      </c>
      <c r="H270" s="111" t="s">
        <v>266</v>
      </c>
      <c r="I270" s="112" t="s">
        <v>1132</v>
      </c>
      <c r="J270" s="101" t="s">
        <v>877</v>
      </c>
    </row>
    <row r="271" customHeight="1" spans="1:10">
      <c r="A271" s="97">
        <v>209</v>
      </c>
      <c r="B271" s="97">
        <v>270</v>
      </c>
      <c r="C271" s="110">
        <v>45543</v>
      </c>
      <c r="D271" s="97" t="s">
        <v>31</v>
      </c>
      <c r="E271" s="109">
        <v>3</v>
      </c>
      <c r="F271" s="97" t="s">
        <v>668</v>
      </c>
      <c r="G271" s="109">
        <v>14</v>
      </c>
      <c r="H271" s="111" t="s">
        <v>266</v>
      </c>
      <c r="I271" s="112" t="s">
        <v>1132</v>
      </c>
      <c r="J271" s="101" t="s">
        <v>877</v>
      </c>
    </row>
    <row r="272" customHeight="1" spans="1:10">
      <c r="A272" s="97">
        <v>209</v>
      </c>
      <c r="B272" s="97">
        <v>271</v>
      </c>
      <c r="C272" s="110">
        <v>45543</v>
      </c>
      <c r="D272" s="97" t="s">
        <v>31</v>
      </c>
      <c r="E272" s="109">
        <v>3</v>
      </c>
      <c r="F272" s="97" t="s">
        <v>669</v>
      </c>
      <c r="G272" s="109">
        <v>2</v>
      </c>
      <c r="H272" s="111" t="s">
        <v>266</v>
      </c>
      <c r="I272" s="112" t="s">
        <v>1132</v>
      </c>
      <c r="J272" s="101" t="s">
        <v>877</v>
      </c>
    </row>
    <row r="273" customHeight="1" spans="1:10">
      <c r="A273" s="97">
        <v>209</v>
      </c>
      <c r="B273" s="97">
        <v>272</v>
      </c>
      <c r="C273" s="110">
        <v>45543</v>
      </c>
      <c r="D273" s="97" t="s">
        <v>31</v>
      </c>
      <c r="E273" s="109">
        <v>3</v>
      </c>
      <c r="F273" s="97" t="s">
        <v>670</v>
      </c>
      <c r="G273" s="109">
        <v>1</v>
      </c>
      <c r="H273" s="111" t="s">
        <v>266</v>
      </c>
      <c r="I273" s="112" t="s">
        <v>1132</v>
      </c>
      <c r="J273" s="101" t="s">
        <v>877</v>
      </c>
    </row>
    <row r="274" ht="57" customHeight="1" spans="1:10">
      <c r="A274" s="97">
        <v>210</v>
      </c>
      <c r="B274" s="97">
        <v>273</v>
      </c>
      <c r="C274" s="110">
        <v>45543</v>
      </c>
      <c r="D274" s="97" t="s">
        <v>80</v>
      </c>
      <c r="E274" s="109">
        <v>2</v>
      </c>
      <c r="F274" s="97" t="s">
        <v>671</v>
      </c>
      <c r="G274" s="109">
        <v>378</v>
      </c>
      <c r="H274" s="111" t="s">
        <v>44</v>
      </c>
      <c r="I274" s="113" t="s">
        <v>1133</v>
      </c>
      <c r="J274" s="97" t="s">
        <v>934</v>
      </c>
    </row>
    <row r="275" customHeight="1" spans="1:10">
      <c r="A275" s="97">
        <v>211</v>
      </c>
      <c r="B275" s="97">
        <v>274</v>
      </c>
      <c r="C275" s="110">
        <v>45543</v>
      </c>
      <c r="D275" s="97" t="s">
        <v>80</v>
      </c>
      <c r="E275" s="109">
        <v>2</v>
      </c>
      <c r="F275" s="97" t="s">
        <v>675</v>
      </c>
      <c r="G275" s="109">
        <v>50</v>
      </c>
      <c r="H275" s="111" t="s">
        <v>13</v>
      </c>
      <c r="I275" s="112" t="s">
        <v>1134</v>
      </c>
      <c r="J275" s="97" t="s">
        <v>880</v>
      </c>
    </row>
    <row r="276" customHeight="1" spans="1:10">
      <c r="A276" s="97">
        <v>212</v>
      </c>
      <c r="B276" s="97">
        <v>275</v>
      </c>
      <c r="C276" s="110">
        <v>45543</v>
      </c>
      <c r="D276" s="97" t="s">
        <v>80</v>
      </c>
      <c r="E276" s="109">
        <v>2</v>
      </c>
      <c r="F276" s="97" t="s">
        <v>803</v>
      </c>
      <c r="G276" s="109">
        <v>58</v>
      </c>
      <c r="H276" s="111" t="s">
        <v>27</v>
      </c>
      <c r="I276" s="112" t="s">
        <v>1135</v>
      </c>
      <c r="J276" s="101" t="s">
        <v>868</v>
      </c>
    </row>
    <row r="277" customHeight="1" spans="1:10">
      <c r="A277" s="97">
        <v>213</v>
      </c>
      <c r="B277" s="97">
        <v>276</v>
      </c>
      <c r="C277" s="110">
        <v>45543</v>
      </c>
      <c r="D277" s="97" t="s">
        <v>87</v>
      </c>
      <c r="E277" s="109">
        <v>3</v>
      </c>
      <c r="F277" s="97" t="s">
        <v>809</v>
      </c>
      <c r="G277" s="109">
        <v>14</v>
      </c>
      <c r="H277" s="111" t="s">
        <v>49</v>
      </c>
      <c r="I277" s="112" t="s">
        <v>1136</v>
      </c>
      <c r="J277" s="97" t="s">
        <v>926</v>
      </c>
    </row>
    <row r="278" customHeight="1" spans="1:10">
      <c r="A278" s="97">
        <v>214</v>
      </c>
      <c r="B278" s="97">
        <v>277</v>
      </c>
      <c r="C278" s="110">
        <v>45543</v>
      </c>
      <c r="D278" s="97" t="s">
        <v>87</v>
      </c>
      <c r="E278" s="109">
        <v>3</v>
      </c>
      <c r="F278" s="97" t="s">
        <v>681</v>
      </c>
      <c r="G278" s="109">
        <v>22</v>
      </c>
      <c r="H278" s="111" t="s">
        <v>49</v>
      </c>
      <c r="I278" s="112" t="s">
        <v>1136</v>
      </c>
      <c r="J278" s="101" t="s">
        <v>882</v>
      </c>
    </row>
    <row r="279" customHeight="1" spans="1:10">
      <c r="A279" s="97">
        <v>215</v>
      </c>
      <c r="B279" s="97">
        <v>278</v>
      </c>
      <c r="C279" s="110">
        <v>45543</v>
      </c>
      <c r="D279" s="97" t="s">
        <v>87</v>
      </c>
      <c r="E279" s="109">
        <v>3</v>
      </c>
      <c r="F279" s="97" t="s">
        <v>810</v>
      </c>
      <c r="G279" s="109">
        <v>12</v>
      </c>
      <c r="H279" s="111" t="s">
        <v>49</v>
      </c>
      <c r="I279" s="112" t="s">
        <v>1136</v>
      </c>
      <c r="J279" s="97" t="s">
        <v>923</v>
      </c>
    </row>
    <row r="280" customHeight="1" spans="1:10">
      <c r="A280" s="97">
        <v>216</v>
      </c>
      <c r="B280" s="97">
        <v>279</v>
      </c>
      <c r="C280" s="110">
        <v>45543</v>
      </c>
      <c r="D280" s="97" t="s">
        <v>87</v>
      </c>
      <c r="E280" s="109">
        <v>3</v>
      </c>
      <c r="F280" s="97" t="s">
        <v>1137</v>
      </c>
      <c r="G280" s="109">
        <v>5</v>
      </c>
      <c r="H280" s="111" t="s">
        <v>685</v>
      </c>
      <c r="I280" s="112" t="s">
        <v>1138</v>
      </c>
      <c r="J280" s="101" t="s">
        <v>869</v>
      </c>
    </row>
    <row r="281" customHeight="1" spans="1:10">
      <c r="A281" s="97">
        <v>217</v>
      </c>
      <c r="B281" s="97">
        <v>280</v>
      </c>
      <c r="C281" s="110">
        <v>45543</v>
      </c>
      <c r="D281" s="97" t="s">
        <v>87</v>
      </c>
      <c r="E281" s="109">
        <v>3</v>
      </c>
      <c r="F281" s="97" t="s">
        <v>812</v>
      </c>
      <c r="G281" s="109">
        <v>2</v>
      </c>
      <c r="H281" s="111" t="s">
        <v>77</v>
      </c>
      <c r="I281" s="112" t="s">
        <v>1139</v>
      </c>
      <c r="J281" s="101" t="s">
        <v>935</v>
      </c>
    </row>
    <row r="282" customHeight="1" spans="1:10">
      <c r="A282" s="97">
        <v>218</v>
      </c>
      <c r="B282" s="97">
        <v>281</v>
      </c>
      <c r="C282" s="110">
        <v>45543</v>
      </c>
      <c r="D282" s="97" t="s">
        <v>87</v>
      </c>
      <c r="E282" s="109">
        <v>3</v>
      </c>
      <c r="F282" s="97" t="s">
        <v>690</v>
      </c>
      <c r="G282" s="109">
        <v>94</v>
      </c>
      <c r="H282" s="111" t="s">
        <v>77</v>
      </c>
      <c r="I282" s="112" t="s">
        <v>1139</v>
      </c>
      <c r="J282" s="101" t="s">
        <v>936</v>
      </c>
    </row>
    <row r="283" customHeight="1" spans="1:10">
      <c r="A283" s="97">
        <v>219</v>
      </c>
      <c r="B283" s="97">
        <v>282</v>
      </c>
      <c r="C283" s="110">
        <v>45543</v>
      </c>
      <c r="D283" s="97" t="s">
        <v>87</v>
      </c>
      <c r="E283" s="109">
        <v>3</v>
      </c>
      <c r="F283" s="97" t="s">
        <v>669</v>
      </c>
      <c r="G283" s="109">
        <v>2</v>
      </c>
      <c r="H283" s="111" t="s">
        <v>266</v>
      </c>
      <c r="I283" s="112" t="s">
        <v>1132</v>
      </c>
      <c r="J283" s="101" t="s">
        <v>877</v>
      </c>
    </row>
    <row r="284" customHeight="1" spans="1:10">
      <c r="A284" s="97">
        <v>219</v>
      </c>
      <c r="B284" s="97">
        <v>283</v>
      </c>
      <c r="C284" s="110">
        <v>45543</v>
      </c>
      <c r="D284" s="97" t="s">
        <v>87</v>
      </c>
      <c r="E284" s="109">
        <v>3</v>
      </c>
      <c r="F284" s="97" t="s">
        <v>666</v>
      </c>
      <c r="G284" s="109">
        <v>13</v>
      </c>
      <c r="H284" s="111" t="s">
        <v>266</v>
      </c>
      <c r="I284" s="112" t="s">
        <v>1132</v>
      </c>
      <c r="J284" s="101" t="s">
        <v>877</v>
      </c>
    </row>
    <row r="285" customHeight="1" spans="1:10">
      <c r="A285" s="97">
        <v>219</v>
      </c>
      <c r="B285" s="97">
        <v>284</v>
      </c>
      <c r="C285" s="110">
        <v>45543</v>
      </c>
      <c r="D285" s="97" t="s">
        <v>87</v>
      </c>
      <c r="E285" s="109">
        <v>3</v>
      </c>
      <c r="F285" s="97" t="s">
        <v>668</v>
      </c>
      <c r="G285" s="109">
        <v>14</v>
      </c>
      <c r="H285" s="111" t="s">
        <v>266</v>
      </c>
      <c r="I285" s="112" t="s">
        <v>1132</v>
      </c>
      <c r="J285" s="101" t="s">
        <v>877</v>
      </c>
    </row>
    <row r="286" customHeight="1" spans="1:10">
      <c r="A286" s="97">
        <v>219</v>
      </c>
      <c r="B286" s="97">
        <v>285</v>
      </c>
      <c r="C286" s="110">
        <v>45543</v>
      </c>
      <c r="D286" s="97" t="s">
        <v>87</v>
      </c>
      <c r="E286" s="109">
        <v>3</v>
      </c>
      <c r="F286" s="97" t="s">
        <v>670</v>
      </c>
      <c r="G286" s="109">
        <v>1</v>
      </c>
      <c r="H286" s="111" t="s">
        <v>266</v>
      </c>
      <c r="I286" s="112" t="s">
        <v>1132</v>
      </c>
      <c r="J286" s="101" t="s">
        <v>877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K220"/>
  <sheetViews>
    <sheetView workbookViewId="0">
      <selection activeCell="E12" sqref="E12"/>
    </sheetView>
  </sheetViews>
  <sheetFormatPr defaultColWidth="9.12962962962963" defaultRowHeight="20.4"/>
  <cols>
    <col min="1" max="1" width="4.37962962962963" style="4" customWidth="1"/>
    <col min="2" max="2" width="10.75" style="4" customWidth="1"/>
    <col min="3" max="3" width="13.25" style="4" customWidth="1"/>
    <col min="4" max="4" width="2.87962962962963" style="71" customWidth="1"/>
    <col min="5" max="5" width="124.87962962963" style="4" customWidth="1"/>
    <col min="6" max="6" width="28.25" style="4" customWidth="1"/>
    <col min="7" max="7" width="5.87962962962963" style="4" customWidth="1"/>
    <col min="8" max="8" width="10.25" style="4" customWidth="1"/>
    <col min="9" max="9" width="6.75" style="108" customWidth="1"/>
    <col min="10" max="16384" width="9.12962962962963" style="108"/>
  </cols>
  <sheetData>
    <row r="1" spans="1:9">
      <c r="A1" s="3" t="s">
        <v>817</v>
      </c>
      <c r="B1" s="3" t="s">
        <v>1140</v>
      </c>
      <c r="C1" s="3" t="s">
        <v>1141</v>
      </c>
      <c r="D1" s="3" t="s">
        <v>818</v>
      </c>
      <c r="E1" s="3" t="s">
        <v>1142</v>
      </c>
      <c r="F1" s="3" t="s">
        <v>1143</v>
      </c>
      <c r="G1" s="3" t="s">
        <v>1144</v>
      </c>
      <c r="H1" s="3" t="s">
        <v>695</v>
      </c>
      <c r="I1" s="109" t="s">
        <v>696</v>
      </c>
    </row>
    <row r="2" spans="1:11">
      <c r="A2" s="4">
        <v>1</v>
      </c>
      <c r="B2" s="98">
        <v>45535</v>
      </c>
      <c r="C2" s="99" t="s">
        <v>11</v>
      </c>
      <c r="D2" s="99">
        <v>2</v>
      </c>
      <c r="E2" s="100" t="s">
        <v>699</v>
      </c>
      <c r="F2" s="101" t="s">
        <v>827</v>
      </c>
      <c r="G2" s="99">
        <v>28</v>
      </c>
      <c r="H2" s="99" t="s">
        <v>17</v>
      </c>
      <c r="I2" s="99" t="s">
        <v>700</v>
      </c>
      <c r="K2" s="108" t="str">
        <f>TRIM(E2)</f>
        <v>513 427-2560 : POLYMER MATERIALS (ฟ้า)</v>
      </c>
    </row>
    <row r="3" spans="1:11">
      <c r="A3" s="4">
        <v>2</v>
      </c>
      <c r="B3" s="98">
        <v>45535</v>
      </c>
      <c r="C3" s="99" t="s">
        <v>11</v>
      </c>
      <c r="D3" s="99">
        <v>2</v>
      </c>
      <c r="E3" s="100" t="s">
        <v>20</v>
      </c>
      <c r="F3" s="97" t="s">
        <v>828</v>
      </c>
      <c r="G3" s="99">
        <v>44</v>
      </c>
      <c r="H3" s="99" t="s">
        <v>17</v>
      </c>
      <c r="I3" s="99" t="s">
        <v>701</v>
      </c>
      <c r="K3" s="108" t="str">
        <f t="shared" ref="K3:K66" si="0">TRIM(E3)</f>
        <v>523 201-165 : CHEMICAL AND MICROBIOLOGICAL SAFETY</v>
      </c>
    </row>
    <row r="4" spans="1:11">
      <c r="A4" s="4">
        <v>3</v>
      </c>
      <c r="B4" s="98">
        <v>45535</v>
      </c>
      <c r="C4" s="99" t="s">
        <v>11</v>
      </c>
      <c r="D4" s="99">
        <v>2</v>
      </c>
      <c r="E4" s="100" t="s">
        <v>702</v>
      </c>
      <c r="F4" s="101" t="s">
        <v>829</v>
      </c>
      <c r="G4" s="99">
        <v>134</v>
      </c>
      <c r="H4" s="99" t="s">
        <v>17</v>
      </c>
      <c r="I4" s="99" t="s">
        <v>701</v>
      </c>
      <c r="K4" s="108" t="str">
        <f t="shared" si="0"/>
        <v>515 104-165 : STATISTICS FOR COMPUTING / 515 201--165-59 กลุ่ม 3 (Lab)</v>
      </c>
    </row>
    <row r="5" ht="40.8" spans="1:11">
      <c r="A5" s="4">
        <v>4</v>
      </c>
      <c r="B5" s="98">
        <v>45535</v>
      </c>
      <c r="C5" s="99" t="s">
        <v>31</v>
      </c>
      <c r="D5" s="99">
        <v>3</v>
      </c>
      <c r="E5" s="100" t="s">
        <v>32</v>
      </c>
      <c r="F5" s="101" t="s">
        <v>830</v>
      </c>
      <c r="G5" s="99">
        <v>126</v>
      </c>
      <c r="H5" s="99" t="s">
        <v>17</v>
      </c>
      <c r="I5" s="99" t="s">
        <v>701</v>
      </c>
      <c r="K5" s="108" t="str">
        <f t="shared" si="0"/>
        <v>511 100-165 : PRECALCULUS</v>
      </c>
    </row>
    <row r="6" spans="1:11">
      <c r="A6" s="4">
        <v>5</v>
      </c>
      <c r="B6" s="98">
        <v>45535</v>
      </c>
      <c r="C6" s="99" t="s">
        <v>31</v>
      </c>
      <c r="D6" s="99">
        <v>3</v>
      </c>
      <c r="E6" s="100" t="s">
        <v>38</v>
      </c>
      <c r="F6" s="101" t="s">
        <v>831</v>
      </c>
      <c r="G6" s="99">
        <v>239</v>
      </c>
      <c r="H6" s="99" t="s">
        <v>17</v>
      </c>
      <c r="I6" s="99" t="s">
        <v>701</v>
      </c>
      <c r="K6" s="108" t="str">
        <f t="shared" si="0"/>
        <v>511 101-165 : CALCULUS I</v>
      </c>
    </row>
    <row r="7" ht="40.8" spans="1:11">
      <c r="A7" s="4">
        <v>6</v>
      </c>
      <c r="B7" s="98">
        <v>45535</v>
      </c>
      <c r="C7" s="99" t="s">
        <v>31</v>
      </c>
      <c r="D7" s="99">
        <v>3</v>
      </c>
      <c r="E7" s="100" t="s">
        <v>43</v>
      </c>
      <c r="F7" s="101" t="s">
        <v>832</v>
      </c>
      <c r="G7" s="99">
        <v>400</v>
      </c>
      <c r="H7" s="99" t="s">
        <v>17</v>
      </c>
      <c r="I7" s="99" t="s">
        <v>701</v>
      </c>
      <c r="K7" s="108" t="str">
        <f t="shared" si="0"/>
        <v>511 104-2560-165 : CALCULUS FOR ENGINEERS I</v>
      </c>
    </row>
    <row r="8" spans="1:11">
      <c r="A8" s="4">
        <v>7</v>
      </c>
      <c r="B8" s="98">
        <v>45535</v>
      </c>
      <c r="C8" s="99" t="s">
        <v>31</v>
      </c>
      <c r="D8" s="99">
        <v>3</v>
      </c>
      <c r="E8" s="100" t="s">
        <v>48</v>
      </c>
      <c r="F8" s="97" t="s">
        <v>831</v>
      </c>
      <c r="G8" s="99">
        <v>58</v>
      </c>
      <c r="H8" s="99" t="s">
        <v>17</v>
      </c>
      <c r="I8" s="99" t="s">
        <v>701</v>
      </c>
      <c r="K8" s="108" t="str">
        <f t="shared" si="0"/>
        <v>511 119-167 : CALCULUS FOR MATHEMATICS TEACHERS I</v>
      </c>
    </row>
    <row r="9" spans="1:11">
      <c r="A9" s="4">
        <v>8</v>
      </c>
      <c r="B9" s="98">
        <v>45535</v>
      </c>
      <c r="C9" s="99" t="s">
        <v>31</v>
      </c>
      <c r="D9" s="99">
        <v>3</v>
      </c>
      <c r="E9" s="100" t="s">
        <v>52</v>
      </c>
      <c r="F9" s="97" t="s">
        <v>833</v>
      </c>
      <c r="G9" s="99">
        <v>24</v>
      </c>
      <c r="H9" s="99" t="s">
        <v>17</v>
      </c>
      <c r="I9" s="99" t="s">
        <v>701</v>
      </c>
      <c r="K9" s="108" t="str">
        <f t="shared" si="0"/>
        <v>512 101-2562 : GENERAL BIOLOGY I</v>
      </c>
    </row>
    <row r="10" spans="1:11">
      <c r="A10" s="4">
        <v>9</v>
      </c>
      <c r="B10" s="98">
        <v>45535</v>
      </c>
      <c r="C10" s="99" t="s">
        <v>31</v>
      </c>
      <c r="D10" s="99">
        <v>3</v>
      </c>
      <c r="E10" s="100" t="s">
        <v>57</v>
      </c>
      <c r="F10" s="97" t="s">
        <v>834</v>
      </c>
      <c r="G10" s="99">
        <v>136</v>
      </c>
      <c r="H10" s="99" t="s">
        <v>17</v>
      </c>
      <c r="I10" s="99" t="s">
        <v>701</v>
      </c>
      <c r="K10" s="108" t="str">
        <f t="shared" si="0"/>
        <v>512 105-165 : FUNDAMENTAL BIOLOGY</v>
      </c>
    </row>
    <row r="11" spans="1:11">
      <c r="A11" s="4">
        <v>10</v>
      </c>
      <c r="B11" s="98">
        <v>45535</v>
      </c>
      <c r="C11" s="99" t="s">
        <v>31</v>
      </c>
      <c r="D11" s="99">
        <v>3</v>
      </c>
      <c r="E11" s="100" t="s">
        <v>62</v>
      </c>
      <c r="F11" s="97" t="s">
        <v>835</v>
      </c>
      <c r="G11" s="99">
        <v>63</v>
      </c>
      <c r="H11" s="99" t="s">
        <v>17</v>
      </c>
      <c r="I11" s="99" t="s">
        <v>701</v>
      </c>
      <c r="K11" s="108" t="str">
        <f t="shared" si="0"/>
        <v>512 333-2560-165 : ANIMAL PHYSIOLOGY</v>
      </c>
    </row>
    <row r="12" spans="1:11">
      <c r="A12" s="4">
        <v>11</v>
      </c>
      <c r="B12" s="98">
        <v>45535</v>
      </c>
      <c r="C12" s="99" t="s">
        <v>31</v>
      </c>
      <c r="D12" s="99">
        <v>3</v>
      </c>
      <c r="E12" s="100" t="s">
        <v>703</v>
      </c>
      <c r="F12" s="97" t="s">
        <v>836</v>
      </c>
      <c r="G12" s="99">
        <v>42</v>
      </c>
      <c r="H12" s="99" t="s">
        <v>17</v>
      </c>
      <c r="I12" s="99" t="s">
        <v>701</v>
      </c>
      <c r="K12" s="108" t="str">
        <f t="shared" si="0"/>
        <v>517 214-2561-165 : DATA STRUCTURE AND ALGORITHM (Lect)</v>
      </c>
    </row>
    <row r="13" spans="1:11">
      <c r="A13" s="4">
        <v>12</v>
      </c>
      <c r="B13" s="98">
        <v>45535</v>
      </c>
      <c r="C13" s="99" t="s">
        <v>31</v>
      </c>
      <c r="D13" s="99">
        <v>3</v>
      </c>
      <c r="E13" s="100" t="s">
        <v>72</v>
      </c>
      <c r="F13" s="97" t="s">
        <v>837</v>
      </c>
      <c r="G13" s="99">
        <v>134</v>
      </c>
      <c r="H13" s="99" t="s">
        <v>17</v>
      </c>
      <c r="I13" s="99" t="s">
        <v>701</v>
      </c>
      <c r="K13" s="108" t="str">
        <f t="shared" si="0"/>
        <v>520 361-165 : SYSTEM ANALYSIS AND DESIGN อ.ปานใจ</v>
      </c>
    </row>
    <row r="14" spans="1:11">
      <c r="A14" s="4">
        <v>13</v>
      </c>
      <c r="B14" s="98">
        <v>45535</v>
      </c>
      <c r="C14" s="99" t="s">
        <v>31</v>
      </c>
      <c r="D14" s="99">
        <v>3</v>
      </c>
      <c r="E14" s="100" t="s">
        <v>76</v>
      </c>
      <c r="F14" s="97" t="s">
        <v>838</v>
      </c>
      <c r="G14" s="99">
        <v>97</v>
      </c>
      <c r="H14" s="99" t="s">
        <v>17</v>
      </c>
      <c r="I14" s="99" t="s">
        <v>701</v>
      </c>
      <c r="K14" s="108" t="str">
        <f t="shared" si="0"/>
        <v>520 361-2560-165 : SYSTEM ANALYSIS AND DESIGN อ.อรวรรณ</v>
      </c>
    </row>
    <row r="15" spans="1:11">
      <c r="A15" s="4">
        <v>14</v>
      </c>
      <c r="B15" s="98">
        <v>45535</v>
      </c>
      <c r="C15" s="99" t="s">
        <v>80</v>
      </c>
      <c r="D15" s="99">
        <v>2</v>
      </c>
      <c r="E15" s="100" t="s">
        <v>81</v>
      </c>
      <c r="F15" s="101" t="s">
        <v>839</v>
      </c>
      <c r="G15" s="99">
        <v>423</v>
      </c>
      <c r="H15" s="99" t="s">
        <v>17</v>
      </c>
      <c r="I15" s="99" t="s">
        <v>701</v>
      </c>
      <c r="K15" s="108" t="str">
        <f t="shared" si="0"/>
        <v>513 343-2560-165 : BIOCHEMISTRY LABORATORY</v>
      </c>
    </row>
    <row r="16" ht="40.8" spans="1:11">
      <c r="A16" s="4">
        <v>15</v>
      </c>
      <c r="B16" s="98">
        <v>45535</v>
      </c>
      <c r="C16" s="99" t="s">
        <v>87</v>
      </c>
      <c r="D16" s="99">
        <v>3</v>
      </c>
      <c r="E16" s="100" t="s">
        <v>88</v>
      </c>
      <c r="F16" s="101" t="s">
        <v>832</v>
      </c>
      <c r="G16" s="103">
        <v>200</v>
      </c>
      <c r="H16" s="99" t="s">
        <v>17</v>
      </c>
      <c r="I16" s="99" t="s">
        <v>701</v>
      </c>
      <c r="K16" s="108" t="str">
        <f t="shared" si="0"/>
        <v>511 105-165 : CALCULUS FOR MATERIALS ENGINEERS</v>
      </c>
    </row>
    <row r="17" spans="1:11">
      <c r="A17" s="4">
        <v>16</v>
      </c>
      <c r="B17" s="98">
        <v>45535</v>
      </c>
      <c r="C17" s="99" t="s">
        <v>87</v>
      </c>
      <c r="D17" s="99">
        <v>3</v>
      </c>
      <c r="E17" s="100" t="s">
        <v>92</v>
      </c>
      <c r="F17" s="101" t="s">
        <v>840</v>
      </c>
      <c r="G17" s="99">
        <v>255</v>
      </c>
      <c r="H17" s="99" t="s">
        <v>17</v>
      </c>
      <c r="I17" s="99" t="s">
        <v>701</v>
      </c>
      <c r="K17" s="108" t="str">
        <f t="shared" si="0"/>
        <v>511 115-165 : CALCULUS FOR INDUSTRIAL ENGINEERS I</v>
      </c>
    </row>
    <row r="18" spans="1:11">
      <c r="A18" s="4">
        <v>17</v>
      </c>
      <c r="B18" s="98">
        <v>45535</v>
      </c>
      <c r="C18" s="99" t="s">
        <v>87</v>
      </c>
      <c r="D18" s="99">
        <v>3</v>
      </c>
      <c r="E18" s="100" t="s">
        <v>95</v>
      </c>
      <c r="F18" s="101" t="s">
        <v>840</v>
      </c>
      <c r="G18" s="99">
        <v>112</v>
      </c>
      <c r="H18" s="99" t="s">
        <v>17</v>
      </c>
      <c r="I18" s="99" t="s">
        <v>701</v>
      </c>
      <c r="K18" s="108" t="str">
        <f t="shared" si="0"/>
        <v>511 117-165 : ESSENTIAL MATHEMATICS FOR CHEMICAL ENGINEERS</v>
      </c>
    </row>
    <row r="19" spans="1:11">
      <c r="A19" s="4">
        <v>18</v>
      </c>
      <c r="B19" s="98">
        <v>45535</v>
      </c>
      <c r="C19" s="99" t="s">
        <v>87</v>
      </c>
      <c r="D19" s="99">
        <v>3</v>
      </c>
      <c r="E19" s="100" t="s">
        <v>705</v>
      </c>
      <c r="F19" s="97" t="s">
        <v>841</v>
      </c>
      <c r="G19" s="99">
        <v>46</v>
      </c>
      <c r="H19" s="99" t="s">
        <v>17</v>
      </c>
      <c r="I19" s="99" t="s">
        <v>700</v>
      </c>
      <c r="K19" s="108" t="str">
        <f t="shared" si="0"/>
        <v>511 482-2560 : SELECTED TOPICS IN MATHEMATICS II / 511 485-162 (ฟ้า)</v>
      </c>
    </row>
    <row r="20" spans="1:11">
      <c r="A20" s="4">
        <v>19</v>
      </c>
      <c r="B20" s="98">
        <v>45535</v>
      </c>
      <c r="C20" s="99" t="s">
        <v>87</v>
      </c>
      <c r="D20" s="99">
        <v>3</v>
      </c>
      <c r="E20" s="100" t="s">
        <v>103</v>
      </c>
      <c r="F20" s="97" t="s">
        <v>833</v>
      </c>
      <c r="G20" s="99">
        <v>24</v>
      </c>
      <c r="H20" s="99" t="s">
        <v>17</v>
      </c>
      <c r="I20" s="99" t="s">
        <v>701</v>
      </c>
      <c r="K20" s="108" t="str">
        <f t="shared" si="0"/>
        <v>512 103-2562 : GENERAL BIOLOGY LABORATORY I</v>
      </c>
    </row>
    <row r="21" spans="1:11">
      <c r="A21" s="4">
        <v>20</v>
      </c>
      <c r="B21" s="98">
        <v>45535</v>
      </c>
      <c r="C21" s="99" t="s">
        <v>87</v>
      </c>
      <c r="D21" s="99">
        <v>3</v>
      </c>
      <c r="E21" s="100" t="s">
        <v>107</v>
      </c>
      <c r="F21" s="101" t="s">
        <v>842</v>
      </c>
      <c r="G21" s="99">
        <v>281</v>
      </c>
      <c r="H21" s="99" t="s">
        <v>17</v>
      </c>
      <c r="I21" s="99" t="s">
        <v>701</v>
      </c>
      <c r="K21" s="108" t="str">
        <f t="shared" si="0"/>
        <v>513 250-2560-165 : ORGANIC CHEMISTRY</v>
      </c>
    </row>
    <row r="22" spans="1:11">
      <c r="A22" s="4">
        <v>21</v>
      </c>
      <c r="B22" s="98">
        <v>45535</v>
      </c>
      <c r="C22" s="99" t="s">
        <v>87</v>
      </c>
      <c r="D22" s="99">
        <v>3</v>
      </c>
      <c r="E22" s="100" t="s">
        <v>111</v>
      </c>
      <c r="F22" s="101" t="s">
        <v>843</v>
      </c>
      <c r="G22" s="99">
        <v>96</v>
      </c>
      <c r="H22" s="99" t="s">
        <v>17</v>
      </c>
      <c r="I22" s="99" t="s">
        <v>701</v>
      </c>
      <c r="K22" s="108" t="str">
        <f t="shared" si="0"/>
        <v>513 257-2560-165 : FUNDAMENTAL ORGANIC CHEMISTRY</v>
      </c>
    </row>
    <row r="23" spans="1:11">
      <c r="A23" s="4">
        <v>22</v>
      </c>
      <c r="B23" s="98">
        <v>45535</v>
      </c>
      <c r="C23" s="99" t="s">
        <v>87</v>
      </c>
      <c r="D23" s="99">
        <v>3</v>
      </c>
      <c r="E23" s="100" t="s">
        <v>706</v>
      </c>
      <c r="F23" s="101" t="s">
        <v>836</v>
      </c>
      <c r="G23" s="99">
        <v>42</v>
      </c>
      <c r="H23" s="99" t="s">
        <v>17</v>
      </c>
      <c r="I23" s="99" t="s">
        <v>701</v>
      </c>
      <c r="K23" s="108" t="str">
        <f t="shared" si="0"/>
        <v>517 214-2561-165 : DATA STRUCTURE AND ALGORITHM (Lab)</v>
      </c>
    </row>
    <row r="24" spans="1:11">
      <c r="A24" s="4">
        <v>23</v>
      </c>
      <c r="B24" s="98">
        <v>45535</v>
      </c>
      <c r="C24" s="99" t="s">
        <v>87</v>
      </c>
      <c r="D24" s="99">
        <v>3</v>
      </c>
      <c r="E24" s="100" t="s">
        <v>707</v>
      </c>
      <c r="F24" s="101" t="s">
        <v>844</v>
      </c>
      <c r="G24" s="99">
        <v>105</v>
      </c>
      <c r="H24" s="99" t="s">
        <v>17</v>
      </c>
      <c r="I24" s="99" t="s">
        <v>701</v>
      </c>
      <c r="K24" s="108" t="str">
        <f t="shared" si="0"/>
        <v>517 212-165 : DISCRETE COMPUTATIONAL STRUCTURES / 517 213-2560</v>
      </c>
    </row>
    <row r="25" spans="1:11">
      <c r="A25" s="4">
        <v>24</v>
      </c>
      <c r="B25" s="98">
        <v>45535</v>
      </c>
      <c r="C25" s="99" t="s">
        <v>87</v>
      </c>
      <c r="D25" s="99">
        <v>3</v>
      </c>
      <c r="E25" s="100" t="s">
        <v>708</v>
      </c>
      <c r="F25" s="101" t="s">
        <v>845</v>
      </c>
      <c r="G25" s="99">
        <v>57</v>
      </c>
      <c r="H25" s="99" t="s">
        <v>17</v>
      </c>
      <c r="I25" s="99" t="s">
        <v>700</v>
      </c>
      <c r="K25" s="108" t="str">
        <f t="shared" si="0"/>
        <v>524 101-166 : NATURE OF SCIENCE (ฟ้า)</v>
      </c>
    </row>
    <row r="26" spans="1:11">
      <c r="A26" s="4">
        <v>25</v>
      </c>
      <c r="B26" s="98">
        <v>45536</v>
      </c>
      <c r="C26" s="99" t="s">
        <v>11</v>
      </c>
      <c r="D26" s="99">
        <v>2</v>
      </c>
      <c r="E26" s="100" t="s">
        <v>709</v>
      </c>
      <c r="F26" s="101" t="s">
        <v>846</v>
      </c>
      <c r="G26" s="99">
        <v>5</v>
      </c>
      <c r="H26" s="99" t="s">
        <v>17</v>
      </c>
      <c r="I26" s="99" t="s">
        <v>700</v>
      </c>
      <c r="K26" s="108" t="str">
        <f t="shared" si="0"/>
        <v>512 415-2560 : PLANT TISSUE AND CELL CULTURE (ฟ้า)</v>
      </c>
    </row>
    <row r="27" spans="1:11">
      <c r="A27" s="4">
        <v>26</v>
      </c>
      <c r="B27" s="98">
        <v>45536</v>
      </c>
      <c r="C27" s="99" t="s">
        <v>11</v>
      </c>
      <c r="D27" s="99">
        <v>2</v>
      </c>
      <c r="E27" s="100" t="s">
        <v>131</v>
      </c>
      <c r="F27" s="101" t="s">
        <v>847</v>
      </c>
      <c r="G27" s="99">
        <v>95</v>
      </c>
      <c r="H27" s="99" t="s">
        <v>17</v>
      </c>
      <c r="I27" s="99" t="s">
        <v>701</v>
      </c>
      <c r="K27" s="108" t="str">
        <f t="shared" si="0"/>
        <v>513 291-165 : CHEMICAL SAFETY</v>
      </c>
    </row>
    <row r="28" spans="1:11">
      <c r="A28" s="4">
        <v>27</v>
      </c>
      <c r="B28" s="98">
        <v>45536</v>
      </c>
      <c r="C28" s="99" t="s">
        <v>11</v>
      </c>
      <c r="D28" s="99">
        <v>2</v>
      </c>
      <c r="E28" s="100" t="s">
        <v>710</v>
      </c>
      <c r="F28" s="97" t="s">
        <v>848</v>
      </c>
      <c r="G28" s="99">
        <v>20</v>
      </c>
      <c r="H28" s="99" t="s">
        <v>711</v>
      </c>
      <c r="I28" s="99" t="s">
        <v>701</v>
      </c>
      <c r="K28" s="108" t="str">
        <f t="shared" si="0"/>
        <v>513 435-2560-165 : CHEMICAL ANALYSIS OF WATER openbook</v>
      </c>
    </row>
    <row r="29" spans="1:11">
      <c r="A29" s="4">
        <v>28</v>
      </c>
      <c r="B29" s="98">
        <v>45536</v>
      </c>
      <c r="C29" s="99" t="s">
        <v>11</v>
      </c>
      <c r="D29" s="99">
        <v>2</v>
      </c>
      <c r="E29" s="100" t="s">
        <v>712</v>
      </c>
      <c r="F29" s="97" t="s">
        <v>849</v>
      </c>
      <c r="G29" s="99">
        <v>107</v>
      </c>
      <c r="H29" s="99" t="s">
        <v>17</v>
      </c>
      <c r="I29" s="99" t="s">
        <v>701</v>
      </c>
      <c r="K29" s="108" t="str">
        <f t="shared" si="0"/>
        <v>515 105-165 : STATISTICS FOR INFORMATION TECHNOLOGY / 515 201-59 กลุ่ม 2 (Lab)</v>
      </c>
    </row>
    <row r="30" spans="1:11">
      <c r="A30" s="4">
        <v>29</v>
      </c>
      <c r="B30" s="98">
        <v>45536</v>
      </c>
      <c r="C30" s="99" t="s">
        <v>31</v>
      </c>
      <c r="D30" s="99">
        <v>3</v>
      </c>
      <c r="E30" s="100" t="s">
        <v>713</v>
      </c>
      <c r="F30" s="97" t="s">
        <v>850</v>
      </c>
      <c r="G30" s="99">
        <v>382</v>
      </c>
      <c r="H30" s="99" t="s">
        <v>17</v>
      </c>
      <c r="I30" s="99" t="s">
        <v>701</v>
      </c>
      <c r="K30" s="108" t="str">
        <f t="shared" si="0"/>
        <v>511 106-165 : CALCULUS FOR BIOLOGICAL SCIENTISTS I / 511 112-162-167</v>
      </c>
    </row>
    <row r="31" ht="40.8" spans="1:11">
      <c r="A31" s="4">
        <v>30</v>
      </c>
      <c r="B31" s="98">
        <v>45536</v>
      </c>
      <c r="C31" s="99" t="s">
        <v>31</v>
      </c>
      <c r="D31" s="99">
        <v>3</v>
      </c>
      <c r="E31" s="100" t="s">
        <v>149</v>
      </c>
      <c r="F31" s="101" t="s">
        <v>830</v>
      </c>
      <c r="G31" s="99">
        <v>44</v>
      </c>
      <c r="H31" s="99" t="s">
        <v>17</v>
      </c>
      <c r="I31" s="99" t="s">
        <v>701</v>
      </c>
      <c r="K31" s="108" t="str">
        <f t="shared" si="0"/>
        <v>511 201-162-165 : PRINCIPLES OF MATHEMATICS I</v>
      </c>
    </row>
    <row r="32" spans="1:11">
      <c r="A32" s="4">
        <v>31</v>
      </c>
      <c r="B32" s="98">
        <v>45536</v>
      </c>
      <c r="C32" s="99" t="s">
        <v>31</v>
      </c>
      <c r="D32" s="99">
        <v>3</v>
      </c>
      <c r="E32" s="100" t="s">
        <v>714</v>
      </c>
      <c r="F32" s="101" t="s">
        <v>851</v>
      </c>
      <c r="G32" s="99">
        <v>19</v>
      </c>
      <c r="H32" s="99" t="s">
        <v>17</v>
      </c>
      <c r="I32" s="99" t="s">
        <v>700</v>
      </c>
      <c r="K32" s="108" t="str">
        <f t="shared" si="0"/>
        <v>512 315-165 : PLANT TAXONOMY (ฟ้า)</v>
      </c>
    </row>
    <row r="33" spans="1:11">
      <c r="A33" s="4">
        <v>32</v>
      </c>
      <c r="B33" s="98">
        <v>45536</v>
      </c>
      <c r="C33" s="99" t="s">
        <v>31</v>
      </c>
      <c r="D33" s="99">
        <v>3</v>
      </c>
      <c r="E33" s="100" t="s">
        <v>156</v>
      </c>
      <c r="F33" s="101" t="s">
        <v>852</v>
      </c>
      <c r="G33" s="99">
        <v>83</v>
      </c>
      <c r="H33" s="99" t="s">
        <v>17</v>
      </c>
      <c r="I33" s="99" t="s">
        <v>701</v>
      </c>
      <c r="K33" s="108" t="str">
        <f t="shared" si="0"/>
        <v>517 324-2560-165 : MOBILE APPLICATION DEVELOPMENT</v>
      </c>
    </row>
    <row r="34" spans="1:11">
      <c r="A34" s="4">
        <v>33</v>
      </c>
      <c r="B34" s="98">
        <v>45536</v>
      </c>
      <c r="C34" s="99" t="s">
        <v>31</v>
      </c>
      <c r="D34" s="99">
        <v>3</v>
      </c>
      <c r="E34" s="100" t="s">
        <v>715</v>
      </c>
      <c r="F34" s="101" t="s">
        <v>853</v>
      </c>
      <c r="G34" s="99">
        <v>75</v>
      </c>
      <c r="H34" s="99" t="s">
        <v>17</v>
      </c>
      <c r="I34" s="99" t="s">
        <v>701</v>
      </c>
      <c r="K34" s="108" t="str">
        <f t="shared" si="0"/>
        <v>517 101-165 : DIGITAL LITERACY AND CITIZENSHIP (Lab)</v>
      </c>
    </row>
    <row r="35" spans="1:11">
      <c r="A35" s="4">
        <v>34</v>
      </c>
      <c r="B35" s="98">
        <v>45536</v>
      </c>
      <c r="C35" s="99" t="s">
        <v>31</v>
      </c>
      <c r="D35" s="99">
        <v>3</v>
      </c>
      <c r="E35" s="100" t="s">
        <v>716</v>
      </c>
      <c r="F35" s="97" t="s">
        <v>854</v>
      </c>
      <c r="G35" s="99">
        <v>8</v>
      </c>
      <c r="H35" s="99" t="s">
        <v>17</v>
      </c>
      <c r="I35" s="99" t="s">
        <v>701</v>
      </c>
      <c r="K35" s="108" t="str">
        <f t="shared" si="0"/>
        <v>519 241-165 : COMPUTATIONAL MATHEMATICS (Lab)</v>
      </c>
    </row>
    <row r="36" spans="1:11">
      <c r="A36" s="4">
        <v>35</v>
      </c>
      <c r="B36" s="98">
        <v>45536</v>
      </c>
      <c r="C36" s="99" t="s">
        <v>31</v>
      </c>
      <c r="D36" s="99">
        <v>3</v>
      </c>
      <c r="E36" s="100" t="s">
        <v>717</v>
      </c>
      <c r="F36" s="101" t="s">
        <v>855</v>
      </c>
      <c r="G36" s="99">
        <v>47</v>
      </c>
      <c r="H36" s="99" t="s">
        <v>17</v>
      </c>
      <c r="I36" s="99" t="s">
        <v>700</v>
      </c>
      <c r="K36" s="108" t="str">
        <f t="shared" si="0"/>
        <v>511 243-2560-162 : THEORY OF EQUATIONS (ฟ้า)</v>
      </c>
    </row>
    <row r="37" spans="1:11">
      <c r="A37" s="4">
        <v>36</v>
      </c>
      <c r="B37" s="98">
        <v>45536</v>
      </c>
      <c r="C37" s="99" t="s">
        <v>31</v>
      </c>
      <c r="D37" s="99">
        <v>3</v>
      </c>
      <c r="E37" s="100" t="s">
        <v>171</v>
      </c>
      <c r="F37" s="97" t="s">
        <v>856</v>
      </c>
      <c r="G37" s="99">
        <v>107</v>
      </c>
      <c r="H37" s="99" t="s">
        <v>17</v>
      </c>
      <c r="I37" s="99" t="s">
        <v>701</v>
      </c>
      <c r="K37" s="108" t="str">
        <f t="shared" si="0"/>
        <v>520 101-2560-165 : FOUNDATION OF COMPUTER AND INFORMATICS</v>
      </c>
    </row>
    <row r="38" spans="1:11">
      <c r="A38" s="4">
        <v>37</v>
      </c>
      <c r="B38" s="98">
        <v>45536</v>
      </c>
      <c r="C38" s="99" t="s">
        <v>31</v>
      </c>
      <c r="D38" s="99">
        <v>3</v>
      </c>
      <c r="E38" s="100" t="s">
        <v>857</v>
      </c>
      <c r="F38" s="97" t="s">
        <v>858</v>
      </c>
      <c r="G38" s="99">
        <v>4</v>
      </c>
      <c r="H38" s="99" t="s">
        <v>17</v>
      </c>
      <c r="I38" s="99" t="s">
        <v>701</v>
      </c>
      <c r="K38" s="108" t="str">
        <f t="shared" si="0"/>
        <v>515 511-264 : PROBABILITY AND STATISTICAL INFERENCE (Lab) ป.โท</v>
      </c>
    </row>
    <row r="39" spans="1:11">
      <c r="A39" s="4">
        <v>38</v>
      </c>
      <c r="B39" s="98">
        <v>45536</v>
      </c>
      <c r="C39" s="99" t="s">
        <v>80</v>
      </c>
      <c r="D39" s="99">
        <v>2</v>
      </c>
      <c r="E39" s="100" t="s">
        <v>180</v>
      </c>
      <c r="F39" s="101" t="s">
        <v>848</v>
      </c>
      <c r="G39" s="99">
        <v>414</v>
      </c>
      <c r="H39" s="103" t="s">
        <v>17</v>
      </c>
      <c r="I39" s="99" t="s">
        <v>701</v>
      </c>
      <c r="K39" s="108" t="str">
        <f t="shared" si="0"/>
        <v>513 231-2560-165 : ANALYTICAL CHEMISTRY I</v>
      </c>
    </row>
    <row r="40" spans="1:11">
      <c r="A40" s="4">
        <v>39</v>
      </c>
      <c r="B40" s="98">
        <v>45536</v>
      </c>
      <c r="C40" s="99" t="s">
        <v>80</v>
      </c>
      <c r="D40" s="99">
        <v>2</v>
      </c>
      <c r="E40" s="100" t="s">
        <v>183</v>
      </c>
      <c r="F40" s="101" t="s">
        <v>859</v>
      </c>
      <c r="G40" s="99">
        <v>21</v>
      </c>
      <c r="H40" s="99" t="s">
        <v>17</v>
      </c>
      <c r="I40" s="99" t="s">
        <v>701</v>
      </c>
      <c r="K40" s="108" t="str">
        <f t="shared" si="0"/>
        <v>513 422-2560 : PHYSICAL CHEMISTRY OF MACROMOLECULES</v>
      </c>
    </row>
    <row r="41" spans="1:11">
      <c r="A41" s="4">
        <v>40</v>
      </c>
      <c r="B41" s="98">
        <v>45536</v>
      </c>
      <c r="C41" s="99" t="s">
        <v>87</v>
      </c>
      <c r="D41" s="99">
        <v>3</v>
      </c>
      <c r="E41" s="100" t="s">
        <v>719</v>
      </c>
      <c r="F41" s="101" t="s">
        <v>846</v>
      </c>
      <c r="G41" s="99">
        <v>5</v>
      </c>
      <c r="H41" s="99" t="s">
        <v>17</v>
      </c>
      <c r="I41" s="99" t="s">
        <v>700</v>
      </c>
      <c r="K41" s="108" t="str">
        <f t="shared" si="0"/>
        <v>512 416-2560 : PLANT TISSUE AND CELL CULTURE LABORATORY (ฟ้า)</v>
      </c>
    </row>
    <row r="42" spans="1:11">
      <c r="A42" s="4">
        <v>41</v>
      </c>
      <c r="B42" s="98">
        <v>45536</v>
      </c>
      <c r="C42" s="99" t="s">
        <v>87</v>
      </c>
      <c r="D42" s="99">
        <v>3</v>
      </c>
      <c r="E42" s="100" t="s">
        <v>188</v>
      </c>
      <c r="F42" s="101" t="s">
        <v>860</v>
      </c>
      <c r="G42" s="99">
        <v>57</v>
      </c>
      <c r="H42" s="99" t="s">
        <v>17</v>
      </c>
      <c r="I42" s="99" t="s">
        <v>701</v>
      </c>
      <c r="K42" s="108" t="str">
        <f t="shared" si="0"/>
        <v>524 141-166 : MATHEMATICS FOR SCIENCE TEACHER</v>
      </c>
    </row>
    <row r="43" spans="1:11">
      <c r="A43" s="4">
        <v>42</v>
      </c>
      <c r="B43" s="98">
        <v>45536</v>
      </c>
      <c r="C43" s="99" t="s">
        <v>87</v>
      </c>
      <c r="D43" s="99">
        <v>3</v>
      </c>
      <c r="E43" s="100" t="s">
        <v>191</v>
      </c>
      <c r="F43" s="101" t="s">
        <v>861</v>
      </c>
      <c r="G43" s="99">
        <v>45</v>
      </c>
      <c r="H43" s="99" t="s">
        <v>17</v>
      </c>
      <c r="I43" s="99" t="s">
        <v>701</v>
      </c>
      <c r="K43" s="108" t="str">
        <f t="shared" si="0"/>
        <v>511 202-162 : PRINCIPLES OF MATHEMATICS II</v>
      </c>
    </row>
    <row r="44" spans="1:11">
      <c r="A44" s="4">
        <v>43</v>
      </c>
      <c r="B44" s="98">
        <v>45536</v>
      </c>
      <c r="C44" s="99" t="s">
        <v>87</v>
      </c>
      <c r="D44" s="99">
        <v>3</v>
      </c>
      <c r="E44" s="100" t="s">
        <v>720</v>
      </c>
      <c r="F44" s="101" t="s">
        <v>862</v>
      </c>
      <c r="G44" s="99">
        <v>75</v>
      </c>
      <c r="H44" s="99" t="s">
        <v>17</v>
      </c>
      <c r="I44" s="99" t="s">
        <v>701</v>
      </c>
      <c r="K44" s="108" t="str">
        <f t="shared" si="0"/>
        <v>515 101-165 : STATISTICAL THINKING (Lab)</v>
      </c>
    </row>
    <row r="45" spans="1:11">
      <c r="A45" s="4">
        <v>44</v>
      </c>
      <c r="B45" s="98">
        <v>45536</v>
      </c>
      <c r="C45" s="99" t="s">
        <v>87</v>
      </c>
      <c r="D45" s="99">
        <v>3</v>
      </c>
      <c r="E45" s="100" t="s">
        <v>721</v>
      </c>
      <c r="F45" s="97" t="s">
        <v>829</v>
      </c>
      <c r="G45" s="99">
        <v>134</v>
      </c>
      <c r="H45" s="99" t="s">
        <v>17</v>
      </c>
      <c r="I45" s="99" t="s">
        <v>701</v>
      </c>
      <c r="K45" s="108" t="str">
        <f t="shared" si="0"/>
        <v>515 104-165 : STATISTICS FOR COMPUTING / 515 201--165-59 กลุ่ม 3 (Lect)</v>
      </c>
    </row>
    <row r="46" spans="1:11">
      <c r="A46" s="4">
        <v>45</v>
      </c>
      <c r="B46" s="98">
        <v>45536</v>
      </c>
      <c r="C46" s="99" t="s">
        <v>87</v>
      </c>
      <c r="D46" s="99">
        <v>3</v>
      </c>
      <c r="E46" s="100" t="s">
        <v>722</v>
      </c>
      <c r="F46" s="101" t="s">
        <v>849</v>
      </c>
      <c r="G46" s="99">
        <v>107</v>
      </c>
      <c r="H46" s="99" t="s">
        <v>17</v>
      </c>
      <c r="I46" s="99" t="s">
        <v>700</v>
      </c>
      <c r="K46" s="108" t="str">
        <f t="shared" si="0"/>
        <v>515 105-165 : STATISTICS FOR INFORMATION TECHNOLOGY / 515 201-59 กลุ่ม 2 (Lect) (ฟ้า)</v>
      </c>
    </row>
    <row r="47" spans="1:11">
      <c r="A47" s="4">
        <v>46</v>
      </c>
      <c r="B47" s="98">
        <v>45536</v>
      </c>
      <c r="C47" s="99" t="s">
        <v>87</v>
      </c>
      <c r="D47" s="99">
        <v>3</v>
      </c>
      <c r="E47" s="100" t="s">
        <v>723</v>
      </c>
      <c r="F47" s="101" t="s">
        <v>863</v>
      </c>
      <c r="G47" s="99">
        <v>107</v>
      </c>
      <c r="H47" s="99" t="s">
        <v>17</v>
      </c>
      <c r="I47" s="99" t="s">
        <v>701</v>
      </c>
      <c r="K47" s="108" t="str">
        <f t="shared" si="0"/>
        <v>520 231-165 : DATA ANALYTICS / 520 215-160</v>
      </c>
    </row>
    <row r="48" spans="1:11">
      <c r="A48" s="4">
        <v>47</v>
      </c>
      <c r="B48" s="98">
        <v>45536</v>
      </c>
      <c r="C48" s="99" t="s">
        <v>87</v>
      </c>
      <c r="D48" s="99">
        <v>3</v>
      </c>
      <c r="E48" s="100" t="s">
        <v>864</v>
      </c>
      <c r="F48" s="97" t="s">
        <v>865</v>
      </c>
      <c r="G48" s="99">
        <v>4</v>
      </c>
      <c r="H48" s="99" t="s">
        <v>17</v>
      </c>
      <c r="I48" s="99" t="s">
        <v>701</v>
      </c>
      <c r="K48" s="108" t="str">
        <f t="shared" si="0"/>
        <v>515 571-264 : STATISTICAL LEARNING (Lab) ป.โท</v>
      </c>
    </row>
    <row r="49" spans="1:11">
      <c r="A49" s="4">
        <v>48</v>
      </c>
      <c r="B49" s="98">
        <v>45537</v>
      </c>
      <c r="C49" s="99" t="s">
        <v>11</v>
      </c>
      <c r="D49" s="99">
        <v>2</v>
      </c>
      <c r="E49" s="100" t="s">
        <v>725</v>
      </c>
      <c r="F49" s="101" t="s">
        <v>866</v>
      </c>
      <c r="G49" s="99">
        <v>73</v>
      </c>
      <c r="H49" s="99" t="s">
        <v>17</v>
      </c>
      <c r="I49" s="99" t="s">
        <v>701</v>
      </c>
      <c r="K49" s="108" t="str">
        <f t="shared" si="0"/>
        <v>515 203-165 : STATISTICS FOR BIOLOGICAL SCIENTISTS I (Lab)</v>
      </c>
    </row>
    <row r="50" spans="1:11">
      <c r="A50" s="4">
        <v>49</v>
      </c>
      <c r="B50" s="98">
        <v>45537</v>
      </c>
      <c r="C50" s="99" t="s">
        <v>11</v>
      </c>
      <c r="D50" s="99">
        <v>2</v>
      </c>
      <c r="E50" s="100" t="s">
        <v>215</v>
      </c>
      <c r="F50" s="97" t="s">
        <v>844</v>
      </c>
      <c r="G50" s="99">
        <v>89</v>
      </c>
      <c r="H50" s="99" t="s">
        <v>17</v>
      </c>
      <c r="I50" s="99" t="s">
        <v>701</v>
      </c>
      <c r="K50" s="108" t="str">
        <f t="shared" si="0"/>
        <v>520 214-165 : DIGITAL PLATFORM AND INFRASTRUCTURE</v>
      </c>
    </row>
    <row r="51" spans="1:11">
      <c r="A51" s="4">
        <v>50</v>
      </c>
      <c r="B51" s="98">
        <v>45537</v>
      </c>
      <c r="C51" s="99" t="s">
        <v>31</v>
      </c>
      <c r="D51" s="99">
        <v>3</v>
      </c>
      <c r="E51" s="100" t="s">
        <v>218</v>
      </c>
      <c r="F51" s="101" t="s">
        <v>867</v>
      </c>
      <c r="G51" s="99">
        <v>784</v>
      </c>
      <c r="H51" s="99" t="s">
        <v>17</v>
      </c>
      <c r="I51" s="99" t="s">
        <v>701</v>
      </c>
      <c r="K51" s="108" t="str">
        <f t="shared" si="0"/>
        <v>512 101-165 : GENERAL BIOLOGY</v>
      </c>
    </row>
    <row r="52" spans="1:11">
      <c r="A52" s="4">
        <v>51</v>
      </c>
      <c r="B52" s="98">
        <v>45537</v>
      </c>
      <c r="C52" s="99" t="s">
        <v>31</v>
      </c>
      <c r="D52" s="99">
        <v>3</v>
      </c>
      <c r="E52" s="100" t="s">
        <v>224</v>
      </c>
      <c r="F52" s="97" t="s">
        <v>867</v>
      </c>
      <c r="G52" s="99">
        <v>115</v>
      </c>
      <c r="H52" s="99" t="s">
        <v>17</v>
      </c>
      <c r="I52" s="99" t="s">
        <v>701</v>
      </c>
      <c r="K52" s="108" t="str">
        <f t="shared" si="0"/>
        <v>512 108-165 : BIOLOGY FOR APPLIED SCIENCE</v>
      </c>
    </row>
    <row r="53" spans="1:11">
      <c r="A53" s="4">
        <v>52</v>
      </c>
      <c r="B53" s="98">
        <v>45537</v>
      </c>
      <c r="C53" s="99" t="s">
        <v>31</v>
      </c>
      <c r="D53" s="99">
        <v>3</v>
      </c>
      <c r="E53" s="100" t="s">
        <v>726</v>
      </c>
      <c r="F53" s="101" t="s">
        <v>227</v>
      </c>
      <c r="G53" s="99">
        <v>42</v>
      </c>
      <c r="H53" s="99" t="s">
        <v>17</v>
      </c>
      <c r="I53" s="99" t="s">
        <v>700</v>
      </c>
      <c r="K53" s="108" t="str">
        <f t="shared" si="0"/>
        <v>516 331-165 : AIR QUALITY ANALYSIS (ฟ้า)</v>
      </c>
    </row>
    <row r="54" spans="1:11">
      <c r="A54" s="4">
        <v>53</v>
      </c>
      <c r="B54" s="98">
        <v>45537</v>
      </c>
      <c r="C54" s="99" t="s">
        <v>31</v>
      </c>
      <c r="D54" s="99">
        <v>3</v>
      </c>
      <c r="E54" s="100" t="s">
        <v>211</v>
      </c>
      <c r="F54" s="101" t="s">
        <v>868</v>
      </c>
      <c r="G54" s="99">
        <v>113</v>
      </c>
      <c r="H54" s="99" t="s">
        <v>17</v>
      </c>
      <c r="I54" s="99" t="s">
        <v>701</v>
      </c>
      <c r="K54" s="108" t="str">
        <f t="shared" si="0"/>
        <v>515 203-165 : STATISTICS FOR BIOLOGICAL SCIENTISTS I</v>
      </c>
    </row>
    <row r="55" spans="1:11">
      <c r="A55" s="4">
        <v>54</v>
      </c>
      <c r="B55" s="98">
        <v>45537</v>
      </c>
      <c r="C55" s="99" t="s">
        <v>31</v>
      </c>
      <c r="D55" s="99">
        <v>3</v>
      </c>
      <c r="E55" s="100" t="s">
        <v>727</v>
      </c>
      <c r="F55" s="97" t="s">
        <v>869</v>
      </c>
      <c r="G55" s="99">
        <v>3</v>
      </c>
      <c r="H55" s="99" t="s">
        <v>17</v>
      </c>
      <c r="I55" s="99" t="s">
        <v>700</v>
      </c>
      <c r="K55" s="108" t="str">
        <f t="shared" si="0"/>
        <v>515 211-2560 : STATISTICAL INFERENCE I (ฟ้า)</v>
      </c>
    </row>
    <row r="56" spans="1:11">
      <c r="A56" s="4">
        <v>55</v>
      </c>
      <c r="B56" s="98">
        <v>45537</v>
      </c>
      <c r="C56" s="99" t="s">
        <v>31</v>
      </c>
      <c r="D56" s="99">
        <v>3</v>
      </c>
      <c r="E56" s="100" t="s">
        <v>728</v>
      </c>
      <c r="F56" s="101" t="s">
        <v>870</v>
      </c>
      <c r="G56" s="99">
        <v>37</v>
      </c>
      <c r="H56" s="99" t="s">
        <v>17</v>
      </c>
      <c r="I56" s="99" t="s">
        <v>701</v>
      </c>
      <c r="K56" s="108" t="str">
        <f t="shared" si="0"/>
        <v>515 273-165 : STATISTICS FOR DATA SCIENCE (Lab)</v>
      </c>
    </row>
    <row r="57" spans="1:11">
      <c r="A57" s="4">
        <v>56</v>
      </c>
      <c r="B57" s="98">
        <v>45537</v>
      </c>
      <c r="C57" s="99" t="s">
        <v>31</v>
      </c>
      <c r="D57" s="99">
        <v>3</v>
      </c>
      <c r="E57" s="100" t="s">
        <v>729</v>
      </c>
      <c r="F57" s="101" t="s">
        <v>871</v>
      </c>
      <c r="G57" s="99">
        <v>67</v>
      </c>
      <c r="H57" s="99" t="s">
        <v>17</v>
      </c>
      <c r="I57" s="99" t="s">
        <v>701</v>
      </c>
      <c r="K57" s="108" t="str">
        <f t="shared" si="0"/>
        <v>517 111-165 : COMPUTER PROGRAMMING FOR DATA SCIENTISTS / 517 123-2561</v>
      </c>
    </row>
    <row r="58" spans="1:11">
      <c r="A58" s="4">
        <v>57</v>
      </c>
      <c r="B58" s="98">
        <v>45537</v>
      </c>
      <c r="C58" s="99" t="s">
        <v>31</v>
      </c>
      <c r="D58" s="99">
        <v>3</v>
      </c>
      <c r="E58" s="100" t="s">
        <v>245</v>
      </c>
      <c r="F58" s="101" t="s">
        <v>872</v>
      </c>
      <c r="G58" s="99">
        <v>124</v>
      </c>
      <c r="H58" s="99" t="s">
        <v>17</v>
      </c>
      <c r="I58" s="99" t="s">
        <v>701</v>
      </c>
      <c r="K58" s="108" t="str">
        <f t="shared" si="0"/>
        <v>520 331-2560-165 : ARTFICIAL INTELLIGENCE FOR INFORMATION TECHNOLOGY</v>
      </c>
    </row>
    <row r="59" spans="1:11">
      <c r="A59" s="4">
        <v>58</v>
      </c>
      <c r="B59" s="98">
        <v>45537</v>
      </c>
      <c r="C59" s="99" t="s">
        <v>31</v>
      </c>
      <c r="D59" s="99">
        <v>3</v>
      </c>
      <c r="E59" s="100" t="s">
        <v>730</v>
      </c>
      <c r="F59" s="101" t="s">
        <v>873</v>
      </c>
      <c r="G59" s="99">
        <v>7</v>
      </c>
      <c r="H59" s="99" t="s">
        <v>17</v>
      </c>
      <c r="I59" s="99" t="s">
        <v>731</v>
      </c>
      <c r="K59" s="108" t="str">
        <f t="shared" si="0"/>
        <v>514 202-165 : ELECTRONICS (ส้ม)</v>
      </c>
    </row>
    <row r="60" spans="1:11">
      <c r="A60" s="4">
        <v>59</v>
      </c>
      <c r="B60" s="98">
        <v>45537</v>
      </c>
      <c r="C60" s="99" t="s">
        <v>31</v>
      </c>
      <c r="D60" s="99">
        <v>3</v>
      </c>
      <c r="E60" s="100" t="s">
        <v>253</v>
      </c>
      <c r="F60" s="101" t="s">
        <v>874</v>
      </c>
      <c r="G60" s="99">
        <v>237</v>
      </c>
      <c r="H60" s="99" t="s">
        <v>17</v>
      </c>
      <c r="I60" s="99" t="s">
        <v>701</v>
      </c>
      <c r="K60" s="108" t="str">
        <f t="shared" si="0"/>
        <v>517 121-2560-165 : COMPUTER PROGRAMMING SKILL I</v>
      </c>
    </row>
    <row r="61" spans="1:11">
      <c r="A61" s="4">
        <v>60</v>
      </c>
      <c r="B61" s="98">
        <v>45537</v>
      </c>
      <c r="C61" s="99" t="s">
        <v>31</v>
      </c>
      <c r="D61" s="99">
        <v>3</v>
      </c>
      <c r="E61" s="100" t="s">
        <v>732</v>
      </c>
      <c r="F61" s="101" t="s">
        <v>875</v>
      </c>
      <c r="G61" s="99">
        <v>14</v>
      </c>
      <c r="H61" s="99" t="s">
        <v>17</v>
      </c>
      <c r="I61" s="99" t="s">
        <v>700</v>
      </c>
      <c r="K61" s="108" t="str">
        <f t="shared" si="0"/>
        <v>519 451-2560 : FINITE DIFFERENCE METHODS AND APPLICATIONS (ฟ้า)</v>
      </c>
    </row>
    <row r="62" spans="1:11">
      <c r="A62" s="4">
        <v>61</v>
      </c>
      <c r="B62" s="98">
        <v>45537</v>
      </c>
      <c r="C62" s="99" t="s">
        <v>31</v>
      </c>
      <c r="D62" s="99">
        <v>3</v>
      </c>
      <c r="E62" s="100" t="s">
        <v>261</v>
      </c>
      <c r="F62" s="101" t="s">
        <v>872</v>
      </c>
      <c r="G62" s="99">
        <v>16</v>
      </c>
      <c r="H62" s="99" t="s">
        <v>17</v>
      </c>
      <c r="I62" s="99" t="s">
        <v>701</v>
      </c>
      <c r="K62" s="108" t="str">
        <f t="shared" si="0"/>
        <v>517 331-160 : ARTIFICIAL INTELLIGENCE</v>
      </c>
    </row>
    <row r="63" spans="1:11">
      <c r="A63" s="4">
        <v>62</v>
      </c>
      <c r="B63" s="98">
        <v>45537</v>
      </c>
      <c r="C63" s="99" t="s">
        <v>31</v>
      </c>
      <c r="D63" s="99">
        <v>3</v>
      </c>
      <c r="E63" s="104" t="s">
        <v>262</v>
      </c>
      <c r="F63" s="101" t="s">
        <v>876</v>
      </c>
      <c r="G63" s="99">
        <v>91</v>
      </c>
      <c r="H63" s="99" t="s">
        <v>17</v>
      </c>
      <c r="I63" s="99" t="s">
        <v>701</v>
      </c>
      <c r="K63" s="108" t="str">
        <f t="shared" si="0"/>
        <v>518 201-165 : BACTERIOLOGY</v>
      </c>
    </row>
    <row r="64" spans="1:11">
      <c r="A64" s="4">
        <v>63</v>
      </c>
      <c r="B64" s="98">
        <v>45537</v>
      </c>
      <c r="C64" s="99" t="s">
        <v>31</v>
      </c>
      <c r="D64" s="99">
        <v>3</v>
      </c>
      <c r="E64" s="100" t="s">
        <v>733</v>
      </c>
      <c r="F64" s="101" t="s">
        <v>863</v>
      </c>
      <c r="G64" s="99">
        <v>107</v>
      </c>
      <c r="H64" s="99" t="s">
        <v>17</v>
      </c>
      <c r="I64" s="99" t="s">
        <v>701</v>
      </c>
      <c r="K64" s="108" t="str">
        <f t="shared" si="0"/>
        <v>520 231-165 : DATA ANALYTICS / 520 215-160 (Lab)</v>
      </c>
    </row>
    <row r="65" spans="1:11">
      <c r="A65" s="4">
        <v>64</v>
      </c>
      <c r="B65" s="98">
        <v>45537</v>
      </c>
      <c r="C65" s="99" t="s">
        <v>31</v>
      </c>
      <c r="D65" s="99">
        <v>3</v>
      </c>
      <c r="E65" s="100" t="s">
        <v>734</v>
      </c>
      <c r="F65" s="101" t="s">
        <v>877</v>
      </c>
      <c r="G65" s="99">
        <v>55</v>
      </c>
      <c r="H65" s="99" t="s">
        <v>17</v>
      </c>
      <c r="I65" s="99" t="s">
        <v>701</v>
      </c>
      <c r="K65" s="108" t="str">
        <f t="shared" si="0"/>
        <v>522 363-2561-165 : UNSUPERVISED MACHINE LEARNING (Lab)</v>
      </c>
    </row>
    <row r="66" spans="1:11">
      <c r="A66" s="4">
        <v>65</v>
      </c>
      <c r="B66" s="98">
        <v>45537</v>
      </c>
      <c r="C66" s="99" t="s">
        <v>87</v>
      </c>
      <c r="D66" s="99">
        <v>3</v>
      </c>
      <c r="E66" s="100" t="s">
        <v>273</v>
      </c>
      <c r="F66" s="101" t="s">
        <v>878</v>
      </c>
      <c r="G66" s="99">
        <v>143</v>
      </c>
      <c r="H66" s="99" t="s">
        <v>17</v>
      </c>
      <c r="I66" s="99" t="s">
        <v>701</v>
      </c>
      <c r="K66" s="108" t="str">
        <f t="shared" si="0"/>
        <v>511 110-2561-165 : CALCULUS FOR DATA SCIENTISTS I</v>
      </c>
    </row>
    <row r="67" spans="1:11">
      <c r="A67" s="4">
        <v>66</v>
      </c>
      <c r="B67" s="98">
        <v>45537</v>
      </c>
      <c r="C67" s="99" t="s">
        <v>87</v>
      </c>
      <c r="D67" s="99">
        <v>3</v>
      </c>
      <c r="E67" s="100" t="s">
        <v>735</v>
      </c>
      <c r="F67" s="97" t="s">
        <v>844</v>
      </c>
      <c r="G67" s="99">
        <v>138</v>
      </c>
      <c r="H67" s="99" t="s">
        <v>17</v>
      </c>
      <c r="I67" s="99" t="s">
        <v>700</v>
      </c>
      <c r="K67" s="108" t="str">
        <f t="shared" ref="K67:K130" si="1">TRIM(E67)</f>
        <v>517 311-2560-165 : ALGORITHM ANALYSIS AND DESIGN (ฟ้า)</v>
      </c>
    </row>
    <row r="68" spans="1:11">
      <c r="A68" s="4">
        <v>67</v>
      </c>
      <c r="B68" s="98">
        <v>45537</v>
      </c>
      <c r="C68" s="99" t="s">
        <v>87</v>
      </c>
      <c r="D68" s="99">
        <v>3</v>
      </c>
      <c r="E68" s="100" t="s">
        <v>736</v>
      </c>
      <c r="F68" s="97" t="s">
        <v>838</v>
      </c>
      <c r="G68" s="99">
        <v>109</v>
      </c>
      <c r="H68" s="99" t="s">
        <v>17</v>
      </c>
      <c r="I68" s="99" t="s">
        <v>731</v>
      </c>
      <c r="K68" s="108" t="str">
        <f t="shared" si="1"/>
        <v>520 321-2560-165 : DATABASE SYSTEM ADMINISTRATION (ส้ม)</v>
      </c>
    </row>
    <row r="69" spans="1:11">
      <c r="A69" s="4">
        <v>68</v>
      </c>
      <c r="B69" s="98">
        <v>45537</v>
      </c>
      <c r="C69" s="99" t="s">
        <v>87</v>
      </c>
      <c r="D69" s="99">
        <v>3</v>
      </c>
      <c r="E69" s="100" t="s">
        <v>737</v>
      </c>
      <c r="F69" s="97" t="s">
        <v>850</v>
      </c>
      <c r="G69" s="99">
        <v>17</v>
      </c>
      <c r="H69" s="99" t="s">
        <v>17</v>
      </c>
      <c r="I69" s="99" t="s">
        <v>700</v>
      </c>
      <c r="K69" s="108" t="str">
        <f t="shared" si="1"/>
        <v>511 221-2560-165 : DIFFERENTIAL EQUATIONS (ฟ้า)</v>
      </c>
    </row>
    <row r="70" spans="1:11">
      <c r="A70" s="4">
        <v>69</v>
      </c>
      <c r="B70" s="98">
        <v>45537</v>
      </c>
      <c r="C70" s="99" t="s">
        <v>87</v>
      </c>
      <c r="D70" s="99">
        <v>3</v>
      </c>
      <c r="E70" s="100" t="s">
        <v>283</v>
      </c>
      <c r="F70" s="97" t="s">
        <v>879</v>
      </c>
      <c r="G70" s="99">
        <v>44</v>
      </c>
      <c r="H70" s="99" t="s">
        <v>17</v>
      </c>
      <c r="I70" s="99" t="s">
        <v>701</v>
      </c>
      <c r="K70" s="108" t="str">
        <f t="shared" si="1"/>
        <v>512 235-2560-165 : VERTEBRATE ZOOLOGY</v>
      </c>
    </row>
    <row r="71" spans="1:11">
      <c r="A71" s="4">
        <v>70</v>
      </c>
      <c r="B71" s="98">
        <v>45537</v>
      </c>
      <c r="C71" s="99" t="s">
        <v>87</v>
      </c>
      <c r="D71" s="99">
        <v>3</v>
      </c>
      <c r="E71" s="100" t="s">
        <v>286</v>
      </c>
      <c r="F71" s="97" t="s">
        <v>833</v>
      </c>
      <c r="G71" s="99">
        <v>784</v>
      </c>
      <c r="H71" s="99" t="s">
        <v>17</v>
      </c>
      <c r="I71" s="99" t="s">
        <v>701</v>
      </c>
      <c r="K71" s="108" t="str">
        <f t="shared" si="1"/>
        <v>512 102-165 : GENERAL BIOLOGY LABORATORY</v>
      </c>
    </row>
    <row r="72" spans="1:11">
      <c r="A72" s="4">
        <v>71</v>
      </c>
      <c r="B72" s="98">
        <v>45537</v>
      </c>
      <c r="C72" s="99" t="s">
        <v>87</v>
      </c>
      <c r="D72" s="99">
        <v>3</v>
      </c>
      <c r="E72" s="100" t="s">
        <v>738</v>
      </c>
      <c r="F72" s="97" t="s">
        <v>880</v>
      </c>
      <c r="G72" s="99">
        <v>92</v>
      </c>
      <c r="H72" s="99" t="s">
        <v>17</v>
      </c>
      <c r="I72" s="99" t="s">
        <v>701</v>
      </c>
      <c r="K72" s="108" t="str">
        <f t="shared" si="1"/>
        <v>513 331-2560-165 : ANALYTICAL CHEMISTRY III</v>
      </c>
    </row>
    <row r="73" spans="1:11">
      <c r="A73" s="4">
        <v>72</v>
      </c>
      <c r="B73" s="98">
        <v>45537</v>
      </c>
      <c r="C73" s="99" t="s">
        <v>87</v>
      </c>
      <c r="D73" s="99">
        <v>3</v>
      </c>
      <c r="E73" s="100" t="s">
        <v>211</v>
      </c>
      <c r="F73" s="101" t="s">
        <v>866</v>
      </c>
      <c r="G73" s="99">
        <v>73</v>
      </c>
      <c r="H73" s="99" t="s">
        <v>17</v>
      </c>
      <c r="I73" s="99" t="s">
        <v>701</v>
      </c>
      <c r="K73" s="108" t="str">
        <f t="shared" si="1"/>
        <v>515 203-165 : STATISTICS FOR BIOLOGICAL SCIENTISTS I</v>
      </c>
    </row>
    <row r="74" spans="1:11">
      <c r="A74" s="4">
        <v>73</v>
      </c>
      <c r="B74" s="98">
        <v>45537</v>
      </c>
      <c r="C74" s="99" t="s">
        <v>87</v>
      </c>
      <c r="D74" s="99">
        <v>3</v>
      </c>
      <c r="E74" s="100" t="s">
        <v>739</v>
      </c>
      <c r="F74" s="101" t="s">
        <v>870</v>
      </c>
      <c r="G74" s="99">
        <v>37</v>
      </c>
      <c r="H74" s="99" t="s">
        <v>711</v>
      </c>
      <c r="I74" s="99" t="s">
        <v>701</v>
      </c>
      <c r="K74" s="108" t="str">
        <f t="shared" si="1"/>
        <v>515 273-165 : STATISTICS FOR DATA SCIENCE openbook</v>
      </c>
    </row>
    <row r="75" spans="1:11">
      <c r="A75" s="4">
        <v>74</v>
      </c>
      <c r="B75" s="98">
        <v>45537</v>
      </c>
      <c r="C75" s="99" t="s">
        <v>87</v>
      </c>
      <c r="D75" s="99">
        <v>3</v>
      </c>
      <c r="E75" s="100" t="s">
        <v>740</v>
      </c>
      <c r="F75" s="101" t="s">
        <v>881</v>
      </c>
      <c r="G75" s="99">
        <v>24</v>
      </c>
      <c r="H75" s="99" t="s">
        <v>711</v>
      </c>
      <c r="I75" s="99" t="s">
        <v>701</v>
      </c>
      <c r="K75" s="108" t="str">
        <f t="shared" si="1"/>
        <v>516 420-2560 : ENVIRONMENTAL TOXICOLOGY openbook</v>
      </c>
    </row>
    <row r="76" spans="1:11">
      <c r="A76" s="4">
        <v>75</v>
      </c>
      <c r="B76" s="98">
        <v>45537</v>
      </c>
      <c r="C76" s="99" t="s">
        <v>87</v>
      </c>
      <c r="D76" s="99">
        <v>3</v>
      </c>
      <c r="E76" s="100" t="s">
        <v>304</v>
      </c>
      <c r="F76" s="101" t="s">
        <v>876</v>
      </c>
      <c r="G76" s="99">
        <v>91</v>
      </c>
      <c r="H76" s="99" t="s">
        <v>17</v>
      </c>
      <c r="I76" s="99" t="s">
        <v>701</v>
      </c>
      <c r="K76" s="108" t="str">
        <f t="shared" si="1"/>
        <v>518 202-165 : BACTERIOLOGY LABORATORY</v>
      </c>
    </row>
    <row r="77" spans="1:11">
      <c r="A77" s="4">
        <v>76</v>
      </c>
      <c r="B77" s="98">
        <v>45537</v>
      </c>
      <c r="C77" s="99" t="s">
        <v>87</v>
      </c>
      <c r="D77" s="99">
        <v>3</v>
      </c>
      <c r="E77" s="100" t="s">
        <v>741</v>
      </c>
      <c r="F77" s="101" t="s">
        <v>882</v>
      </c>
      <c r="G77" s="99">
        <v>7</v>
      </c>
      <c r="H77" s="99" t="s">
        <v>17</v>
      </c>
      <c r="I77" s="99" t="s">
        <v>700</v>
      </c>
      <c r="K77" s="108" t="str">
        <f t="shared" si="1"/>
        <v>514 301-165 : WAVES AND VIBRATIONS (ฟ้า)</v>
      </c>
    </row>
    <row r="78" spans="1:11">
      <c r="A78" s="4">
        <v>77</v>
      </c>
      <c r="B78" s="98">
        <v>45537</v>
      </c>
      <c r="C78" s="99" t="s">
        <v>87</v>
      </c>
      <c r="D78" s="99">
        <v>3</v>
      </c>
      <c r="E78" s="100" t="s">
        <v>269</v>
      </c>
      <c r="F78" s="101" t="s">
        <v>877</v>
      </c>
      <c r="G78" s="99">
        <v>55</v>
      </c>
      <c r="H78" s="99" t="s">
        <v>17</v>
      </c>
      <c r="I78" s="99" t="s">
        <v>701</v>
      </c>
      <c r="K78" s="108" t="str">
        <f t="shared" si="1"/>
        <v>522 363-2561-165 : UNSUPERVISED MACHINE LEARNING</v>
      </c>
    </row>
    <row r="79" spans="1:11">
      <c r="A79" s="4">
        <v>78</v>
      </c>
      <c r="B79" s="98">
        <v>45537</v>
      </c>
      <c r="C79" s="99" t="s">
        <v>312</v>
      </c>
      <c r="D79" s="99">
        <v>4</v>
      </c>
      <c r="E79" s="100" t="s">
        <v>742</v>
      </c>
      <c r="F79" s="101" t="s">
        <v>874</v>
      </c>
      <c r="G79" s="99">
        <v>230</v>
      </c>
      <c r="H79" s="99" t="s">
        <v>17</v>
      </c>
      <c r="I79" s="99" t="s">
        <v>701</v>
      </c>
      <c r="K79" s="108" t="str">
        <f t="shared" si="1"/>
        <v>517 121-2560-165 : COMPUTER PROGRAMMING SKILL I (Lab)</v>
      </c>
    </row>
    <row r="80" ht="40.8" spans="1:11">
      <c r="A80" s="4">
        <v>79</v>
      </c>
      <c r="B80" s="98">
        <v>45538</v>
      </c>
      <c r="C80" s="99" t="s">
        <v>11</v>
      </c>
      <c r="D80" s="99">
        <v>2</v>
      </c>
      <c r="E80" s="100" t="s">
        <v>321</v>
      </c>
      <c r="F80" s="101" t="s">
        <v>841</v>
      </c>
      <c r="G80" s="99">
        <v>55</v>
      </c>
      <c r="H80" s="99" t="s">
        <v>17</v>
      </c>
      <c r="I80" s="99" t="s">
        <v>701</v>
      </c>
      <c r="K80" s="108" t="str">
        <f t="shared" si="1"/>
        <v>511 200-165 : ENGLISH FOR MATHEMATICS I</v>
      </c>
    </row>
    <row r="81" spans="1:11">
      <c r="A81" s="4">
        <v>80</v>
      </c>
      <c r="B81" s="98">
        <v>45538</v>
      </c>
      <c r="C81" s="99" t="s">
        <v>11</v>
      </c>
      <c r="D81" s="99">
        <v>2</v>
      </c>
      <c r="E81" s="100" t="s">
        <v>743</v>
      </c>
      <c r="F81" s="97" t="s">
        <v>883</v>
      </c>
      <c r="G81" s="99">
        <v>8</v>
      </c>
      <c r="H81" s="99" t="s">
        <v>17</v>
      </c>
      <c r="I81" s="99" t="s">
        <v>731</v>
      </c>
      <c r="K81" s="108" t="str">
        <f t="shared" si="1"/>
        <v>512 462-2560 : CYTOGENETICS (ส้ม)</v>
      </c>
    </row>
    <row r="82" spans="1:11">
      <c r="A82" s="4">
        <v>81</v>
      </c>
      <c r="B82" s="98">
        <v>45538</v>
      </c>
      <c r="C82" s="99" t="s">
        <v>11</v>
      </c>
      <c r="D82" s="99">
        <v>2</v>
      </c>
      <c r="E82" s="100" t="s">
        <v>744</v>
      </c>
      <c r="F82" s="97" t="s">
        <v>839</v>
      </c>
      <c r="G82" s="99">
        <v>9</v>
      </c>
      <c r="H82" s="99" t="s">
        <v>17</v>
      </c>
      <c r="I82" s="99" t="s">
        <v>700</v>
      </c>
      <c r="K82" s="108" t="str">
        <f t="shared" si="1"/>
        <v>513 441-2560 : BIOCHEMISTRY II (ฟ้า)</v>
      </c>
    </row>
    <row r="83" spans="1:11">
      <c r="A83" s="4">
        <v>82</v>
      </c>
      <c r="B83" s="98">
        <v>45538</v>
      </c>
      <c r="C83" s="99" t="s">
        <v>31</v>
      </c>
      <c r="D83" s="99">
        <v>3</v>
      </c>
      <c r="E83" s="100" t="s">
        <v>745</v>
      </c>
      <c r="F83" s="97" t="s">
        <v>884</v>
      </c>
      <c r="G83" s="99">
        <v>19</v>
      </c>
      <c r="H83" s="103" t="s">
        <v>17</v>
      </c>
      <c r="I83" s="99" t="s">
        <v>700</v>
      </c>
      <c r="K83" s="108" t="str">
        <f t="shared" si="1"/>
        <v>511 151-165 : PROBLEM SOLVING SKILLS DEVELOPMENT THROUGH MATHEMATICAL GAMES (ฟ้า)</v>
      </c>
    </row>
    <row r="84" spans="1:11">
      <c r="A84" s="4">
        <v>83</v>
      </c>
      <c r="B84" s="98">
        <v>45538</v>
      </c>
      <c r="C84" s="99" t="s">
        <v>31</v>
      </c>
      <c r="D84" s="99">
        <v>3</v>
      </c>
      <c r="E84" s="100" t="s">
        <v>332</v>
      </c>
      <c r="F84" s="101" t="s">
        <v>843</v>
      </c>
      <c r="G84" s="99">
        <v>42</v>
      </c>
      <c r="H84" s="99" t="s">
        <v>17</v>
      </c>
      <c r="I84" s="99" t="s">
        <v>701</v>
      </c>
      <c r="K84" s="108" t="str">
        <f t="shared" si="1"/>
        <v>513 354-2560 : SPECTROSCOPY IN ORGANIC CHEMISTRY</v>
      </c>
    </row>
    <row r="85" spans="1:11">
      <c r="A85" s="4">
        <v>84</v>
      </c>
      <c r="B85" s="98">
        <v>45538</v>
      </c>
      <c r="C85" s="99" t="s">
        <v>31</v>
      </c>
      <c r="D85" s="99">
        <v>3</v>
      </c>
      <c r="E85" s="100" t="s">
        <v>746</v>
      </c>
      <c r="F85" s="97" t="s">
        <v>885</v>
      </c>
      <c r="G85" s="99">
        <v>18</v>
      </c>
      <c r="H85" s="99" t="s">
        <v>17</v>
      </c>
      <c r="I85" s="99" t="s">
        <v>700</v>
      </c>
      <c r="K85" s="108" t="str">
        <f t="shared" si="1"/>
        <v>511 206-2560 : ENGINEERING MATHEMATICS / 511 282-55 (ฟ้า)</v>
      </c>
    </row>
    <row r="86" spans="1:11">
      <c r="A86" s="4">
        <v>85</v>
      </c>
      <c r="B86" s="98">
        <v>45538</v>
      </c>
      <c r="C86" s="99" t="s">
        <v>31</v>
      </c>
      <c r="D86" s="99">
        <v>3</v>
      </c>
      <c r="E86" s="100" t="s">
        <v>338</v>
      </c>
      <c r="F86" s="97" t="s">
        <v>886</v>
      </c>
      <c r="G86" s="99">
        <v>52</v>
      </c>
      <c r="H86" s="99" t="s">
        <v>17</v>
      </c>
      <c r="I86" s="99" t="s">
        <v>701</v>
      </c>
      <c r="K86" s="108" t="str">
        <f t="shared" si="1"/>
        <v>511 244-2561-165 : LINEAR ALGEBRA FOR DATA SCIENTISTS</v>
      </c>
    </row>
    <row r="87" spans="1:11">
      <c r="A87" s="4">
        <v>86</v>
      </c>
      <c r="B87" s="98">
        <v>45538</v>
      </c>
      <c r="C87" s="99" t="s">
        <v>31</v>
      </c>
      <c r="D87" s="99">
        <v>3</v>
      </c>
      <c r="E87" s="100" t="s">
        <v>747</v>
      </c>
      <c r="F87" s="101" t="s">
        <v>870</v>
      </c>
      <c r="G87" s="99">
        <v>46</v>
      </c>
      <c r="H87" s="99" t="s">
        <v>711</v>
      </c>
      <c r="I87" s="99" t="s">
        <v>701</v>
      </c>
      <c r="K87" s="108" t="str">
        <f t="shared" si="1"/>
        <v>515 261-2560-165 : STATISTICAL PROGRAMMING openbook</v>
      </c>
    </row>
    <row r="88" spans="1:11">
      <c r="A88" s="4">
        <v>87</v>
      </c>
      <c r="B88" s="98">
        <v>45538</v>
      </c>
      <c r="C88" s="99" t="s">
        <v>31</v>
      </c>
      <c r="D88" s="99">
        <v>3</v>
      </c>
      <c r="E88" s="100" t="s">
        <v>748</v>
      </c>
      <c r="F88" s="101" t="s">
        <v>862</v>
      </c>
      <c r="G88" s="99">
        <v>21</v>
      </c>
      <c r="H88" s="99" t="s">
        <v>17</v>
      </c>
      <c r="I88" s="99" t="s">
        <v>701</v>
      </c>
      <c r="K88" s="108" t="str">
        <f t="shared" si="1"/>
        <v>515 321-165 : EXPERIMENTAL DESIGN AND ANALYSIS (Lab)</v>
      </c>
    </row>
    <row r="89" spans="1:11">
      <c r="A89" s="4">
        <v>88</v>
      </c>
      <c r="B89" s="98">
        <v>45538</v>
      </c>
      <c r="C89" s="99" t="s">
        <v>31</v>
      </c>
      <c r="D89" s="99">
        <v>3</v>
      </c>
      <c r="E89" s="100" t="s">
        <v>343</v>
      </c>
      <c r="F89" s="97" t="s">
        <v>887</v>
      </c>
      <c r="G89" s="99">
        <v>44</v>
      </c>
      <c r="H89" s="99" t="s">
        <v>17</v>
      </c>
      <c r="I89" s="99" t="s">
        <v>701</v>
      </c>
      <c r="K89" s="108" t="str">
        <f t="shared" si="1"/>
        <v>518 210-165 : APPLIED BACTERIOLOGY</v>
      </c>
    </row>
    <row r="90" spans="1:11">
      <c r="A90" s="4">
        <v>89</v>
      </c>
      <c r="B90" s="98">
        <v>45538</v>
      </c>
      <c r="C90" s="99" t="s">
        <v>31</v>
      </c>
      <c r="D90" s="99">
        <v>3</v>
      </c>
      <c r="E90" s="100" t="s">
        <v>749</v>
      </c>
      <c r="F90" s="101" t="s">
        <v>888</v>
      </c>
      <c r="G90" s="99">
        <v>151</v>
      </c>
      <c r="H90" s="99" t="s">
        <v>17</v>
      </c>
      <c r="I90" s="99" t="s">
        <v>701</v>
      </c>
      <c r="K90" s="108" t="str">
        <f t="shared" si="1"/>
        <v>518 301-165 : IMMUNOLOGY / 518 305-2560</v>
      </c>
    </row>
    <row r="91" spans="1:11">
      <c r="A91" s="4">
        <v>90</v>
      </c>
      <c r="B91" s="98">
        <v>45538</v>
      </c>
      <c r="C91" s="99" t="s">
        <v>31</v>
      </c>
      <c r="D91" s="99">
        <v>3</v>
      </c>
      <c r="E91" s="100" t="s">
        <v>750</v>
      </c>
      <c r="F91" s="101" t="s">
        <v>889</v>
      </c>
      <c r="G91" s="99">
        <v>49</v>
      </c>
      <c r="H91" s="99" t="s">
        <v>17</v>
      </c>
      <c r="I91" s="99" t="s">
        <v>701</v>
      </c>
      <c r="K91" s="108" t="str">
        <f t="shared" si="1"/>
        <v>520 341-2560 : INTERNET AND WORLD WIDE WEB TECHNOLOGY AND PROGRAMMING (Lect)</v>
      </c>
    </row>
    <row r="92" spans="1:11">
      <c r="A92" s="4">
        <v>91</v>
      </c>
      <c r="B92" s="98">
        <v>45538</v>
      </c>
      <c r="C92" s="99" t="s">
        <v>31</v>
      </c>
      <c r="D92" s="99">
        <v>3</v>
      </c>
      <c r="E92" s="100" t="s">
        <v>353</v>
      </c>
      <c r="F92" s="101" t="s">
        <v>890</v>
      </c>
      <c r="G92" s="99">
        <v>115</v>
      </c>
      <c r="H92" s="99" t="s">
        <v>17</v>
      </c>
      <c r="I92" s="99" t="s">
        <v>701</v>
      </c>
      <c r="K92" s="108" t="str">
        <f t="shared" si="1"/>
        <v>517 312-2560-165 : OPERATING SYSTEMS</v>
      </c>
    </row>
    <row r="93" spans="1:11">
      <c r="A93" s="4">
        <v>92</v>
      </c>
      <c r="B93" s="98">
        <v>45538</v>
      </c>
      <c r="C93" s="99" t="s">
        <v>31</v>
      </c>
      <c r="D93" s="99">
        <v>3</v>
      </c>
      <c r="E93" s="100" t="s">
        <v>751</v>
      </c>
      <c r="F93" s="101" t="s">
        <v>877</v>
      </c>
      <c r="G93" s="99">
        <v>49</v>
      </c>
      <c r="H93" s="99" t="s">
        <v>17</v>
      </c>
      <c r="I93" s="99" t="s">
        <v>700</v>
      </c>
      <c r="K93" s="108" t="str">
        <f t="shared" si="1"/>
        <v>524 271-166 : FOUNDATION OF COMPUTER AND INFORMATICS (ฟ้า)</v>
      </c>
    </row>
    <row r="94" spans="1:11">
      <c r="A94" s="4">
        <v>93</v>
      </c>
      <c r="B94" s="98">
        <v>45538</v>
      </c>
      <c r="C94" s="99" t="s">
        <v>80</v>
      </c>
      <c r="D94" s="99">
        <v>2</v>
      </c>
      <c r="E94" s="100" t="s">
        <v>752</v>
      </c>
      <c r="F94" s="97" t="s">
        <v>886</v>
      </c>
      <c r="G94" s="99">
        <v>52</v>
      </c>
      <c r="H94" s="99" t="s">
        <v>17</v>
      </c>
      <c r="I94" s="99" t="s">
        <v>701</v>
      </c>
      <c r="K94" s="108" t="str">
        <f t="shared" si="1"/>
        <v>511 244-2561-165 : LINEAR ALGEBRA FOR DATA SCIENTISTS (Lab)</v>
      </c>
    </row>
    <row r="95" spans="1:11">
      <c r="A95" s="4">
        <v>94</v>
      </c>
      <c r="B95" s="98">
        <v>45538</v>
      </c>
      <c r="C95" s="99" t="s">
        <v>80</v>
      </c>
      <c r="D95" s="99">
        <v>2</v>
      </c>
      <c r="E95" s="100" t="s">
        <v>358</v>
      </c>
      <c r="F95" s="97" t="s">
        <v>891</v>
      </c>
      <c r="G95" s="99">
        <v>173</v>
      </c>
      <c r="H95" s="99" t="s">
        <v>17</v>
      </c>
      <c r="I95" s="99" t="s">
        <v>701</v>
      </c>
      <c r="K95" s="108" t="str">
        <f t="shared" si="1"/>
        <v>518 102-165 : GENERAL MICROBIOLOGY LABORATORY</v>
      </c>
    </row>
    <row r="96" spans="1:11">
      <c r="A96" s="4">
        <v>95</v>
      </c>
      <c r="B96" s="98">
        <v>45538</v>
      </c>
      <c r="C96" s="99" t="s">
        <v>80</v>
      </c>
      <c r="D96" s="99">
        <v>2</v>
      </c>
      <c r="E96" s="100" t="s">
        <v>753</v>
      </c>
      <c r="F96" s="97" t="s">
        <v>828</v>
      </c>
      <c r="G96" s="99">
        <v>22</v>
      </c>
      <c r="H96" s="99" t="s">
        <v>17</v>
      </c>
      <c r="I96" s="99" t="s">
        <v>700</v>
      </c>
      <c r="K96" s="108" t="str">
        <f t="shared" si="1"/>
        <v>523 301-165 : QUALITY MANAGEMENT SYSTEM IN INDUSTRY (ฟ้า)</v>
      </c>
    </row>
    <row r="97" spans="1:11">
      <c r="A97" s="4">
        <v>96</v>
      </c>
      <c r="B97" s="98">
        <v>45538</v>
      </c>
      <c r="C97" s="99" t="s">
        <v>87</v>
      </c>
      <c r="D97" s="99">
        <v>3</v>
      </c>
      <c r="E97" s="100" t="s">
        <v>365</v>
      </c>
      <c r="F97" s="97" t="s">
        <v>885</v>
      </c>
      <c r="G97" s="99">
        <v>83</v>
      </c>
      <c r="H97" s="99" t="s">
        <v>17</v>
      </c>
      <c r="I97" s="99" t="s">
        <v>701</v>
      </c>
      <c r="K97" s="108" t="str">
        <f t="shared" si="1"/>
        <v>511 204-165 : MATHEMATICS FOR CHEMISTS</v>
      </c>
    </row>
    <row r="98" spans="1:11">
      <c r="A98" s="4">
        <v>97</v>
      </c>
      <c r="B98" s="98">
        <v>45538</v>
      </c>
      <c r="C98" s="99" t="s">
        <v>87</v>
      </c>
      <c r="D98" s="99">
        <v>3</v>
      </c>
      <c r="E98" s="100" t="s">
        <v>892</v>
      </c>
      <c r="F98" s="97" t="s">
        <v>893</v>
      </c>
      <c r="G98" s="99">
        <v>2</v>
      </c>
      <c r="H98" s="99" t="s">
        <v>17</v>
      </c>
      <c r="I98" s="99" t="s">
        <v>700</v>
      </c>
      <c r="K98" s="108" t="str">
        <f t="shared" si="1"/>
        <v>514 441-2560 : RENEWABLE ENERGY (ฟ้า)</v>
      </c>
    </row>
    <row r="99" spans="1:11">
      <c r="A99" s="4">
        <v>98</v>
      </c>
      <c r="B99" s="98">
        <v>45538</v>
      </c>
      <c r="C99" s="99" t="s">
        <v>87</v>
      </c>
      <c r="D99" s="99">
        <v>3</v>
      </c>
      <c r="E99" s="100" t="s">
        <v>755</v>
      </c>
      <c r="F99" s="97" t="s">
        <v>866</v>
      </c>
      <c r="G99" s="99">
        <v>126</v>
      </c>
      <c r="H99" s="99" t="s">
        <v>17</v>
      </c>
      <c r="I99" s="99" t="s">
        <v>701</v>
      </c>
      <c r="K99" s="108" t="str">
        <f t="shared" si="1"/>
        <v>515 231-2560 : PROBABILITY / 515 232-2560-165</v>
      </c>
    </row>
    <row r="100" spans="1:11">
      <c r="A100" s="4">
        <v>99</v>
      </c>
      <c r="B100" s="98">
        <v>45538</v>
      </c>
      <c r="C100" s="99" t="s">
        <v>87</v>
      </c>
      <c r="D100" s="99">
        <v>3</v>
      </c>
      <c r="E100" s="100" t="s">
        <v>756</v>
      </c>
      <c r="F100" s="97" t="s">
        <v>870</v>
      </c>
      <c r="G100" s="99">
        <v>146</v>
      </c>
      <c r="H100" s="99" t="s">
        <v>711</v>
      </c>
      <c r="I100" s="99" t="s">
        <v>701</v>
      </c>
      <c r="K100" s="108" t="str">
        <f t="shared" si="1"/>
        <v>515 261-2560 : STATISTICAL PROGRAMMING (Lab) openbook</v>
      </c>
    </row>
    <row r="101" spans="1:11">
      <c r="A101" s="4">
        <v>100</v>
      </c>
      <c r="B101" s="98">
        <v>45538</v>
      </c>
      <c r="C101" s="99" t="s">
        <v>87</v>
      </c>
      <c r="D101" s="99">
        <v>3</v>
      </c>
      <c r="E101" s="100" t="s">
        <v>757</v>
      </c>
      <c r="F101" s="101" t="s">
        <v>894</v>
      </c>
      <c r="G101" s="99">
        <v>12</v>
      </c>
      <c r="H101" s="99" t="s">
        <v>711</v>
      </c>
      <c r="I101" s="99" t="s">
        <v>701</v>
      </c>
      <c r="K101" s="108" t="str">
        <f t="shared" si="1"/>
        <v>516 311-2560 : HAZARDOUS WASTE MANAGEMENT openbook</v>
      </c>
    </row>
    <row r="102" spans="1:11">
      <c r="A102" s="4">
        <v>101</v>
      </c>
      <c r="B102" s="98">
        <v>45538</v>
      </c>
      <c r="C102" s="99" t="s">
        <v>87</v>
      </c>
      <c r="D102" s="99">
        <v>3</v>
      </c>
      <c r="E102" s="100" t="s">
        <v>758</v>
      </c>
      <c r="F102" s="101" t="s">
        <v>888</v>
      </c>
      <c r="G102" s="99">
        <v>117</v>
      </c>
      <c r="H102" s="99" t="s">
        <v>17</v>
      </c>
      <c r="I102" s="99" t="s">
        <v>701</v>
      </c>
      <c r="K102" s="108" t="str">
        <f t="shared" si="1"/>
        <v>518 302-165 : IMMUNOLOGY LABORATORY / 518 306-2560</v>
      </c>
    </row>
    <row r="103" spans="1:11">
      <c r="A103" s="4">
        <v>102</v>
      </c>
      <c r="B103" s="98">
        <v>45538</v>
      </c>
      <c r="C103" s="99" t="s">
        <v>87</v>
      </c>
      <c r="D103" s="99">
        <v>3</v>
      </c>
      <c r="E103" s="100" t="s">
        <v>759</v>
      </c>
      <c r="F103" s="101" t="s">
        <v>895</v>
      </c>
      <c r="G103" s="99">
        <v>24</v>
      </c>
      <c r="H103" s="99" t="s">
        <v>17</v>
      </c>
      <c r="I103" s="99" t="s">
        <v>700</v>
      </c>
      <c r="K103" s="108" t="str">
        <f t="shared" si="1"/>
        <v>519 362-2560 : INTRODUCTION TO FINANCIAL MATHEMATICS / 519 362-165 (ฟ้า)</v>
      </c>
    </row>
    <row r="104" spans="1:11">
      <c r="A104" s="4">
        <v>103</v>
      </c>
      <c r="B104" s="98">
        <v>45538</v>
      </c>
      <c r="C104" s="99" t="s">
        <v>312</v>
      </c>
      <c r="D104" s="99">
        <v>4</v>
      </c>
      <c r="E104" s="100" t="s">
        <v>760</v>
      </c>
      <c r="F104" s="97" t="s">
        <v>889</v>
      </c>
      <c r="G104" s="99">
        <v>49</v>
      </c>
      <c r="H104" s="99" t="s">
        <v>17</v>
      </c>
      <c r="I104" s="99" t="s">
        <v>701</v>
      </c>
      <c r="K104" s="108" t="str">
        <f t="shared" si="1"/>
        <v>520 341-2560 : INTERNET AND WORLD WIDE WEB TECHNOLOGY AND PROGRAMMING (Lab)</v>
      </c>
    </row>
    <row r="105" spans="1:11">
      <c r="A105" s="4">
        <v>104</v>
      </c>
      <c r="B105" s="98">
        <v>45539</v>
      </c>
      <c r="C105" s="99" t="s">
        <v>11</v>
      </c>
      <c r="D105" s="99">
        <v>2</v>
      </c>
      <c r="E105" s="100" t="s">
        <v>384</v>
      </c>
      <c r="F105" s="97" t="s">
        <v>896</v>
      </c>
      <c r="G105" s="99">
        <v>20</v>
      </c>
      <c r="H105" s="99" t="s">
        <v>17</v>
      </c>
      <c r="I105" s="99" t="s">
        <v>701</v>
      </c>
      <c r="K105" s="108" t="str">
        <f t="shared" si="1"/>
        <v>513 415-2560 : NANOMATERIALS</v>
      </c>
    </row>
    <row r="106" spans="1:11">
      <c r="A106" s="4">
        <v>105</v>
      </c>
      <c r="B106" s="98">
        <v>45539</v>
      </c>
      <c r="C106" s="99" t="s">
        <v>31</v>
      </c>
      <c r="D106" s="99">
        <v>3</v>
      </c>
      <c r="E106" s="100" t="s">
        <v>761</v>
      </c>
      <c r="F106" s="97" t="s">
        <v>897</v>
      </c>
      <c r="G106" s="99">
        <v>63</v>
      </c>
      <c r="H106" s="99" t="s">
        <v>17</v>
      </c>
      <c r="I106" s="99" t="s">
        <v>701</v>
      </c>
      <c r="K106" s="108" t="str">
        <f t="shared" si="1"/>
        <v>511 241-2560-165 : LINEAR ALGEBRA I / 511 242-2560</v>
      </c>
    </row>
    <row r="107" spans="1:11">
      <c r="A107" s="4">
        <v>106</v>
      </c>
      <c r="B107" s="98">
        <v>45539</v>
      </c>
      <c r="C107" s="99" t="s">
        <v>31</v>
      </c>
      <c r="D107" s="99">
        <v>3</v>
      </c>
      <c r="E107" s="100" t="s">
        <v>392</v>
      </c>
      <c r="F107" s="97" t="s">
        <v>898</v>
      </c>
      <c r="G107" s="99">
        <v>631</v>
      </c>
      <c r="H107" s="99" t="s">
        <v>17</v>
      </c>
      <c r="I107" s="99" t="s">
        <v>701</v>
      </c>
      <c r="K107" s="108" t="str">
        <f t="shared" si="1"/>
        <v>514 101-55-2560-165 : GENERAL PHYSICS I</v>
      </c>
    </row>
    <row r="108" spans="1:11">
      <c r="A108" s="4">
        <v>107</v>
      </c>
      <c r="B108" s="98">
        <v>45539</v>
      </c>
      <c r="C108" s="99" t="s">
        <v>31</v>
      </c>
      <c r="D108" s="99">
        <v>3</v>
      </c>
      <c r="E108" s="106" t="s">
        <v>762</v>
      </c>
      <c r="F108" s="97" t="s">
        <v>829</v>
      </c>
      <c r="G108" s="103">
        <v>11</v>
      </c>
      <c r="H108" s="99" t="s">
        <v>711</v>
      </c>
      <c r="I108" s="99" t="s">
        <v>701</v>
      </c>
      <c r="K108" s="108" t="str">
        <f t="shared" si="1"/>
        <v>515 222-2560 : APPLIED NONPARAMETRIC STATISTICS (Lab) openbook</v>
      </c>
    </row>
    <row r="109" spans="1:11">
      <c r="A109" s="4">
        <v>108</v>
      </c>
      <c r="B109" s="98">
        <v>45539</v>
      </c>
      <c r="C109" s="99" t="s">
        <v>31</v>
      </c>
      <c r="D109" s="99">
        <v>3</v>
      </c>
      <c r="E109" s="100" t="s">
        <v>763</v>
      </c>
      <c r="F109" s="101" t="s">
        <v>899</v>
      </c>
      <c r="G109" s="99">
        <v>7</v>
      </c>
      <c r="H109" s="99" t="s">
        <v>17</v>
      </c>
      <c r="I109" s="99" t="s">
        <v>700</v>
      </c>
      <c r="K109" s="108" t="str">
        <f t="shared" si="1"/>
        <v>516 336-2560 : NOISE POLLUTION AND VIBRATION (ฟ้า)</v>
      </c>
    </row>
    <row r="110" spans="1:11">
      <c r="A110" s="4">
        <v>109</v>
      </c>
      <c r="B110" s="98">
        <v>45539</v>
      </c>
      <c r="C110" s="99" t="s">
        <v>31</v>
      </c>
      <c r="D110" s="99">
        <v>3</v>
      </c>
      <c r="E110" s="100" t="s">
        <v>159</v>
      </c>
      <c r="F110" s="101" t="s">
        <v>853</v>
      </c>
      <c r="G110" s="99">
        <v>75</v>
      </c>
      <c r="H110" s="99" t="s">
        <v>17</v>
      </c>
      <c r="I110" s="99" t="s">
        <v>701</v>
      </c>
      <c r="K110" s="108" t="str">
        <f t="shared" si="1"/>
        <v>517 101-165 : DIGITAL LITERACY AND CITIZENSHIP</v>
      </c>
    </row>
    <row r="111" spans="1:11">
      <c r="A111" s="4">
        <v>110</v>
      </c>
      <c r="B111" s="98">
        <v>45539</v>
      </c>
      <c r="C111" s="99" t="s">
        <v>31</v>
      </c>
      <c r="D111" s="99">
        <v>3</v>
      </c>
      <c r="E111" s="100" t="s">
        <v>764</v>
      </c>
      <c r="F111" s="101" t="s">
        <v>888</v>
      </c>
      <c r="G111" s="99">
        <v>83</v>
      </c>
      <c r="H111" s="99" t="s">
        <v>17</v>
      </c>
      <c r="I111" s="99" t="s">
        <v>701</v>
      </c>
      <c r="K111" s="108" t="str">
        <f t="shared" si="1"/>
        <v>518 401-2560 : INTRODUCTION TO BIOINFORMATICS (Lab)</v>
      </c>
    </row>
    <row r="112" spans="1:11">
      <c r="A112" s="4">
        <v>111</v>
      </c>
      <c r="B112" s="98">
        <v>45539</v>
      </c>
      <c r="C112" s="99" t="s">
        <v>31</v>
      </c>
      <c r="D112" s="99">
        <v>3</v>
      </c>
      <c r="E112" s="100" t="s">
        <v>765</v>
      </c>
      <c r="F112" s="101" t="s">
        <v>900</v>
      </c>
      <c r="G112" s="99">
        <v>41</v>
      </c>
      <c r="H112" s="99" t="s">
        <v>17</v>
      </c>
      <c r="I112" s="99" t="s">
        <v>701</v>
      </c>
      <c r="K112" s="108" t="str">
        <f t="shared" si="1"/>
        <v>519 161-165 : BUSINESS MATHEMATICS AND ANALYSIS (Lab)</v>
      </c>
    </row>
    <row r="113" spans="1:11">
      <c r="A113" s="4">
        <v>112</v>
      </c>
      <c r="B113" s="98">
        <v>45539</v>
      </c>
      <c r="C113" s="99" t="s">
        <v>87</v>
      </c>
      <c r="D113" s="99">
        <v>3</v>
      </c>
      <c r="E113" s="100" t="s">
        <v>766</v>
      </c>
      <c r="F113" s="101" t="s">
        <v>901</v>
      </c>
      <c r="G113" s="99">
        <v>4</v>
      </c>
      <c r="H113" s="99" t="s">
        <v>17</v>
      </c>
      <c r="I113" s="99" t="s">
        <v>700</v>
      </c>
      <c r="K113" s="108" t="str">
        <f t="shared" si="1"/>
        <v>511 321-2560-165 : PARTIAL DIFFERENTIAL EQUATIONS (ฟ้า)</v>
      </c>
    </row>
    <row r="114" spans="1:11">
      <c r="A114" s="4">
        <v>113</v>
      </c>
      <c r="B114" s="98">
        <v>45539</v>
      </c>
      <c r="C114" s="99" t="s">
        <v>87</v>
      </c>
      <c r="D114" s="99">
        <v>3</v>
      </c>
      <c r="E114" s="100" t="s">
        <v>411</v>
      </c>
      <c r="F114" s="97" t="s">
        <v>851</v>
      </c>
      <c r="G114" s="99">
        <v>19</v>
      </c>
      <c r="H114" s="99" t="s">
        <v>17</v>
      </c>
      <c r="I114" s="99" t="s">
        <v>701</v>
      </c>
      <c r="K114" s="108" t="str">
        <f t="shared" si="1"/>
        <v>512 316-165 : PLANT TAXONOMY LABORATORY</v>
      </c>
    </row>
    <row r="115" spans="1:11">
      <c r="A115" s="4">
        <v>114</v>
      </c>
      <c r="B115" s="98">
        <v>45539</v>
      </c>
      <c r="C115" s="99" t="s">
        <v>87</v>
      </c>
      <c r="D115" s="99">
        <v>3</v>
      </c>
      <c r="E115" s="100" t="s">
        <v>767</v>
      </c>
      <c r="F115" s="97" t="s">
        <v>832</v>
      </c>
      <c r="G115" s="99">
        <v>7</v>
      </c>
      <c r="H115" s="99" t="s">
        <v>17</v>
      </c>
      <c r="I115" s="99" t="s">
        <v>731</v>
      </c>
      <c r="K115" s="108" t="str">
        <f t="shared" si="1"/>
        <v>519 361-165 : LINEAR PROGRAMMING (ส้ม)</v>
      </c>
    </row>
    <row r="116" spans="1:11">
      <c r="A116" s="4">
        <v>115</v>
      </c>
      <c r="B116" s="98">
        <v>45539</v>
      </c>
      <c r="C116" s="99" t="s">
        <v>87</v>
      </c>
      <c r="D116" s="99">
        <v>3</v>
      </c>
      <c r="E116" s="100" t="s">
        <v>413</v>
      </c>
      <c r="F116" s="101" t="s">
        <v>827</v>
      </c>
      <c r="G116" s="99">
        <v>22</v>
      </c>
      <c r="H116" s="99" t="s">
        <v>17</v>
      </c>
      <c r="I116" s="99" t="s">
        <v>701</v>
      </c>
      <c r="K116" s="108" t="str">
        <f t="shared" si="1"/>
        <v>513 321-2560 : PHYSICAL CHEMISTRY III</v>
      </c>
    </row>
    <row r="117" spans="1:11">
      <c r="A117" s="4">
        <v>116</v>
      </c>
      <c r="B117" s="98">
        <v>45539</v>
      </c>
      <c r="C117" s="99" t="s">
        <v>87</v>
      </c>
      <c r="D117" s="99">
        <v>3</v>
      </c>
      <c r="E117" s="100" t="s">
        <v>768</v>
      </c>
      <c r="F117" s="97" t="s">
        <v>893</v>
      </c>
      <c r="G117" s="99">
        <v>7</v>
      </c>
      <c r="H117" s="99" t="s">
        <v>17</v>
      </c>
      <c r="I117" s="99" t="s">
        <v>700</v>
      </c>
      <c r="K117" s="108" t="str">
        <f t="shared" si="1"/>
        <v>514 201-165 : MECHANICS I (ฟ้า)</v>
      </c>
    </row>
    <row r="118" spans="1:11">
      <c r="A118" s="4">
        <v>117</v>
      </c>
      <c r="B118" s="98">
        <v>45539</v>
      </c>
      <c r="C118" s="99" t="s">
        <v>87</v>
      </c>
      <c r="D118" s="99">
        <v>3</v>
      </c>
      <c r="E118" s="100" t="s">
        <v>418</v>
      </c>
      <c r="F118" s="101" t="s">
        <v>882</v>
      </c>
      <c r="G118" s="99">
        <v>327</v>
      </c>
      <c r="H118" s="99" t="s">
        <v>17</v>
      </c>
      <c r="I118" s="99" t="s">
        <v>701</v>
      </c>
      <c r="K118" s="108" t="str">
        <f t="shared" si="1"/>
        <v>514 107-2560-2561-165 : FUNDAMENTAL PHYSICS</v>
      </c>
    </row>
    <row r="119" spans="1:11">
      <c r="A119" s="4">
        <v>118</v>
      </c>
      <c r="B119" s="98">
        <v>45539</v>
      </c>
      <c r="C119" s="99" t="s">
        <v>87</v>
      </c>
      <c r="D119" s="99">
        <v>3</v>
      </c>
      <c r="E119" s="100" t="s">
        <v>769</v>
      </c>
      <c r="F119" s="101" t="s">
        <v>849</v>
      </c>
      <c r="G119" s="99">
        <v>17</v>
      </c>
      <c r="H119" s="99" t="s">
        <v>711</v>
      </c>
      <c r="I119" s="99" t="s">
        <v>701</v>
      </c>
      <c r="K119" s="108" t="str">
        <f t="shared" si="1"/>
        <v>515 323-165 : PREDICTIVE MODELING TECHNIQUES (Lab) openbook</v>
      </c>
    </row>
    <row r="120" spans="1:11">
      <c r="A120" s="4">
        <v>119</v>
      </c>
      <c r="B120" s="98">
        <v>45539</v>
      </c>
      <c r="C120" s="99" t="s">
        <v>87</v>
      </c>
      <c r="D120" s="99">
        <v>3</v>
      </c>
      <c r="E120" s="100" t="s">
        <v>422</v>
      </c>
      <c r="F120" s="101" t="s">
        <v>894</v>
      </c>
      <c r="G120" s="99">
        <v>46</v>
      </c>
      <c r="H120" s="99" t="s">
        <v>17</v>
      </c>
      <c r="I120" s="99" t="s">
        <v>701</v>
      </c>
      <c r="K120" s="108" t="str">
        <f t="shared" si="1"/>
        <v>516 350-2560-165 : WATER POLLUTION AND CONTROLS</v>
      </c>
    </row>
    <row r="121" spans="1:11">
      <c r="A121" s="4">
        <v>120</v>
      </c>
      <c r="B121" s="98">
        <v>45539</v>
      </c>
      <c r="C121" s="99" t="s">
        <v>87</v>
      </c>
      <c r="D121" s="99">
        <v>3</v>
      </c>
      <c r="E121" s="100" t="s">
        <v>770</v>
      </c>
      <c r="F121" s="101" t="s">
        <v>902</v>
      </c>
      <c r="G121" s="99">
        <v>13</v>
      </c>
      <c r="H121" s="99" t="s">
        <v>17</v>
      </c>
      <c r="I121" s="99" t="s">
        <v>700</v>
      </c>
      <c r="K121" s="108" t="str">
        <f t="shared" si="1"/>
        <v>518 311-2560 : MUSHROOM BIOLOGY (ฟ้า)</v>
      </c>
    </row>
    <row r="122" spans="1:11">
      <c r="A122" s="4">
        <v>121</v>
      </c>
      <c r="B122" s="98">
        <v>45539</v>
      </c>
      <c r="C122" s="99" t="s">
        <v>87</v>
      </c>
      <c r="D122" s="99">
        <v>3</v>
      </c>
      <c r="E122" s="100" t="s">
        <v>427</v>
      </c>
      <c r="F122" s="101" t="s">
        <v>856</v>
      </c>
      <c r="G122" s="99">
        <v>211</v>
      </c>
      <c r="H122" s="99" t="s">
        <v>17</v>
      </c>
      <c r="I122" s="99" t="s">
        <v>701</v>
      </c>
      <c r="K122" s="108" t="str">
        <f t="shared" si="1"/>
        <v>520 251-165 : HUMAN COMPUTER INTERACTION AND USER EXPERIENCE DESIGN</v>
      </c>
    </row>
    <row r="123" spans="1:11">
      <c r="A123" s="4">
        <v>122</v>
      </c>
      <c r="B123" s="98">
        <v>45540</v>
      </c>
      <c r="C123" s="99" t="s">
        <v>11</v>
      </c>
      <c r="D123" s="99">
        <v>2</v>
      </c>
      <c r="E123" s="100" t="s">
        <v>429</v>
      </c>
      <c r="F123" s="97" t="s">
        <v>859</v>
      </c>
      <c r="G123" s="99">
        <v>12</v>
      </c>
      <c r="H123" s="99" t="s">
        <v>17</v>
      </c>
      <c r="I123" s="99" t="s">
        <v>701</v>
      </c>
      <c r="K123" s="108" t="str">
        <f t="shared" si="1"/>
        <v>513 482-2560 : SELECTED TOPICS IN PHYSICAL CHEMISTRY</v>
      </c>
    </row>
    <row r="124" spans="1:11">
      <c r="A124" s="4">
        <v>123</v>
      </c>
      <c r="B124" s="98">
        <v>45540</v>
      </c>
      <c r="C124" s="99" t="s">
        <v>31</v>
      </c>
      <c r="D124" s="99">
        <v>3</v>
      </c>
      <c r="E124" s="100" t="s">
        <v>432</v>
      </c>
      <c r="F124" s="101" t="s">
        <v>897</v>
      </c>
      <c r="G124" s="99">
        <v>55</v>
      </c>
      <c r="H124" s="99" t="s">
        <v>17</v>
      </c>
      <c r="I124" s="99" t="s">
        <v>701</v>
      </c>
      <c r="K124" s="108" t="str">
        <f t="shared" si="1"/>
        <v>511 246-165 : LINEAR ALGEBRA WITH APPLICATION</v>
      </c>
    </row>
    <row r="125" ht="40.8" spans="1:11">
      <c r="A125" s="4">
        <v>124</v>
      </c>
      <c r="B125" s="98">
        <v>45540</v>
      </c>
      <c r="C125" s="99" t="s">
        <v>31</v>
      </c>
      <c r="D125" s="99">
        <v>3</v>
      </c>
      <c r="E125" s="100" t="s">
        <v>771</v>
      </c>
      <c r="F125" s="101" t="s">
        <v>865</v>
      </c>
      <c r="G125" s="99">
        <v>5</v>
      </c>
      <c r="H125" s="99" t="s">
        <v>17</v>
      </c>
      <c r="I125" s="99" t="s">
        <v>700</v>
      </c>
      <c r="K125" s="108" t="str">
        <f t="shared" si="1"/>
        <v>515 311-2560 : STATISTICAL INFERENCE II (ฟ้า)</v>
      </c>
    </row>
    <row r="126" spans="1:11">
      <c r="A126" s="4">
        <v>125</v>
      </c>
      <c r="B126" s="98">
        <v>45540</v>
      </c>
      <c r="C126" s="99" t="s">
        <v>31</v>
      </c>
      <c r="D126" s="99">
        <v>3</v>
      </c>
      <c r="E126" s="100" t="s">
        <v>436</v>
      </c>
      <c r="F126" s="101" t="s">
        <v>885</v>
      </c>
      <c r="G126" s="99">
        <v>35</v>
      </c>
      <c r="H126" s="99" t="s">
        <v>17</v>
      </c>
      <c r="I126" s="99" t="s">
        <v>701</v>
      </c>
      <c r="K126" s="108" t="str">
        <f t="shared" si="1"/>
        <v>511 341-2560-165 : ABSTRACT ALGEBRA I</v>
      </c>
    </row>
    <row r="127" spans="1:11">
      <c r="A127" s="4">
        <v>126</v>
      </c>
      <c r="B127" s="98">
        <v>45540</v>
      </c>
      <c r="C127" s="99" t="s">
        <v>31</v>
      </c>
      <c r="D127" s="99">
        <v>3</v>
      </c>
      <c r="E127" s="100" t="s">
        <v>438</v>
      </c>
      <c r="F127" s="101" t="s">
        <v>903</v>
      </c>
      <c r="G127" s="99">
        <v>25</v>
      </c>
      <c r="H127" s="99" t="s">
        <v>17</v>
      </c>
      <c r="I127" s="99" t="s">
        <v>701</v>
      </c>
      <c r="K127" s="108" t="str">
        <f t="shared" si="1"/>
        <v>512 233-2560-165 : INVERTEBRATE ZOOLOGY</v>
      </c>
    </row>
    <row r="128" spans="1:11">
      <c r="A128" s="4">
        <v>127</v>
      </c>
      <c r="B128" s="98">
        <v>45540</v>
      </c>
      <c r="C128" s="99" t="s">
        <v>31</v>
      </c>
      <c r="D128" s="99">
        <v>3</v>
      </c>
      <c r="E128" s="100" t="s">
        <v>772</v>
      </c>
      <c r="F128" s="97" t="s">
        <v>860</v>
      </c>
      <c r="G128" s="99">
        <v>18</v>
      </c>
      <c r="H128" s="99" t="s">
        <v>17</v>
      </c>
      <c r="I128" s="99" t="s">
        <v>700</v>
      </c>
      <c r="K128" s="108" t="str">
        <f t="shared" si="1"/>
        <v>514 102-55-2560-162-165 : GENERAL PHYSICS II (ฟ้า)</v>
      </c>
    </row>
    <row r="129" spans="1:11">
      <c r="A129" s="4">
        <v>128</v>
      </c>
      <c r="B129" s="98">
        <v>45540</v>
      </c>
      <c r="C129" s="99" t="s">
        <v>31</v>
      </c>
      <c r="D129" s="99">
        <v>3</v>
      </c>
      <c r="E129" s="100" t="s">
        <v>444</v>
      </c>
      <c r="F129" s="101" t="s">
        <v>904</v>
      </c>
      <c r="G129" s="99">
        <v>94</v>
      </c>
      <c r="H129" s="99" t="s">
        <v>17</v>
      </c>
      <c r="I129" s="99" t="s">
        <v>701</v>
      </c>
      <c r="K129" s="108" t="str">
        <f t="shared" si="1"/>
        <v>513 311-2560-165 : INORGANIC CHEMISTRY I</v>
      </c>
    </row>
    <row r="130" spans="1:11">
      <c r="A130" s="4">
        <v>129</v>
      </c>
      <c r="B130" s="98">
        <v>45540</v>
      </c>
      <c r="C130" s="99" t="s">
        <v>31</v>
      </c>
      <c r="D130" s="99">
        <v>3</v>
      </c>
      <c r="E130" s="100" t="s">
        <v>448</v>
      </c>
      <c r="F130" s="97" t="s">
        <v>905</v>
      </c>
      <c r="G130" s="99">
        <v>119</v>
      </c>
      <c r="H130" s="99" t="s">
        <v>17</v>
      </c>
      <c r="I130" s="99" t="s">
        <v>701</v>
      </c>
      <c r="K130" s="108" t="str">
        <f t="shared" si="1"/>
        <v>514 110-165 : GENERAL PHYSICS FOR MATERIALS ENGINEERS</v>
      </c>
    </row>
    <row r="131" spans="1:11">
      <c r="A131" s="4">
        <v>130</v>
      </c>
      <c r="B131" s="98">
        <v>45540</v>
      </c>
      <c r="C131" s="99" t="s">
        <v>31</v>
      </c>
      <c r="D131" s="99">
        <v>3</v>
      </c>
      <c r="E131" s="100" t="s">
        <v>451</v>
      </c>
      <c r="F131" s="97" t="s">
        <v>906</v>
      </c>
      <c r="G131" s="99">
        <v>91</v>
      </c>
      <c r="H131" s="99" t="s">
        <v>17</v>
      </c>
      <c r="I131" s="99" t="s">
        <v>701</v>
      </c>
      <c r="K131" s="108" t="str">
        <f t="shared" ref="K131:K193" si="2">TRIM(E131)</f>
        <v>518 207-165 : BIOSAFETY IN MICROBIOLOGICAL LABORATORY</v>
      </c>
    </row>
    <row r="132" spans="1:11">
      <c r="A132" s="4">
        <v>131</v>
      </c>
      <c r="B132" s="98">
        <v>45540</v>
      </c>
      <c r="C132" s="99" t="s">
        <v>31</v>
      </c>
      <c r="D132" s="99">
        <v>3</v>
      </c>
      <c r="E132" s="100" t="s">
        <v>455</v>
      </c>
      <c r="F132" s="101" t="s">
        <v>907</v>
      </c>
      <c r="G132" s="99">
        <v>280</v>
      </c>
      <c r="H132" s="99" t="s">
        <v>17</v>
      </c>
      <c r="I132" s="99" t="s">
        <v>701</v>
      </c>
      <c r="K132" s="108" t="str">
        <f t="shared" si="2"/>
        <v>514 112-165 : FUNDAMENTAL PHYSICS FOR INDUSTRIAL ENGINEERING</v>
      </c>
    </row>
    <row r="133" spans="1:11">
      <c r="A133" s="4">
        <v>132</v>
      </c>
      <c r="B133" s="98">
        <v>45540</v>
      </c>
      <c r="C133" s="99" t="s">
        <v>31</v>
      </c>
      <c r="D133" s="99">
        <v>3</v>
      </c>
      <c r="E133" s="100" t="s">
        <v>773</v>
      </c>
      <c r="F133" s="97" t="s">
        <v>908</v>
      </c>
      <c r="G133" s="99">
        <v>51</v>
      </c>
      <c r="H133" s="99" t="s">
        <v>711</v>
      </c>
      <c r="I133" s="99" t="s">
        <v>701</v>
      </c>
      <c r="K133" s="108" t="str">
        <f t="shared" si="2"/>
        <v>516 270-2560-165 : ENVIRONMENTAL ECOLOGY openbook</v>
      </c>
    </row>
    <row r="134" spans="1:11">
      <c r="A134" s="4">
        <v>133</v>
      </c>
      <c r="B134" s="98">
        <v>45540</v>
      </c>
      <c r="C134" s="99" t="s">
        <v>31</v>
      </c>
      <c r="D134" s="99">
        <v>3</v>
      </c>
      <c r="E134" s="100" t="s">
        <v>774</v>
      </c>
      <c r="F134" s="101" t="s">
        <v>889</v>
      </c>
      <c r="G134" s="99">
        <v>55</v>
      </c>
      <c r="H134" s="103" t="s">
        <v>17</v>
      </c>
      <c r="I134" s="99" t="s">
        <v>701</v>
      </c>
      <c r="K134" s="108" t="str">
        <f t="shared" si="2"/>
        <v>517 341-160 : COMPUTER NETWORK ARCHITECTURE AND TECHNOLOGY / 520 342-2560 (Lect)</v>
      </c>
    </row>
    <row r="135" spans="1:11">
      <c r="A135" s="4">
        <v>134</v>
      </c>
      <c r="B135" s="98">
        <v>45540</v>
      </c>
      <c r="C135" s="99" t="s">
        <v>31</v>
      </c>
      <c r="D135" s="99">
        <v>3</v>
      </c>
      <c r="E135" s="100" t="s">
        <v>775</v>
      </c>
      <c r="F135" s="101" t="s">
        <v>874</v>
      </c>
      <c r="G135" s="99">
        <v>53</v>
      </c>
      <c r="H135" s="99" t="s">
        <v>17</v>
      </c>
      <c r="I135" s="99" t="s">
        <v>701</v>
      </c>
      <c r="K135" s="108" t="str">
        <f t="shared" si="2"/>
        <v>517 431-165 : MACHINE LEARNING / 517 482-2560 / 520 482-160</v>
      </c>
    </row>
    <row r="136" spans="1:11">
      <c r="A136" s="4">
        <v>135</v>
      </c>
      <c r="B136" s="98">
        <v>45540</v>
      </c>
      <c r="C136" s="99" t="s">
        <v>80</v>
      </c>
      <c r="D136" s="99">
        <v>2</v>
      </c>
      <c r="E136" s="100" t="s">
        <v>776</v>
      </c>
      <c r="F136" s="101" t="s">
        <v>897</v>
      </c>
      <c r="G136" s="99">
        <v>55</v>
      </c>
      <c r="H136" s="99" t="s">
        <v>17</v>
      </c>
      <c r="I136" s="99" t="s">
        <v>701</v>
      </c>
      <c r="K136" s="108" t="str">
        <f t="shared" si="2"/>
        <v>511 246-165 : LINEAR ALGEBRA WITH APPLICATION (Lab)</v>
      </c>
    </row>
    <row r="137" spans="1:11">
      <c r="A137" s="4">
        <v>136</v>
      </c>
      <c r="B137" s="98">
        <v>45540</v>
      </c>
      <c r="C137" s="99" t="s">
        <v>80</v>
      </c>
      <c r="D137" s="99">
        <v>2</v>
      </c>
      <c r="E137" s="100" t="s">
        <v>470</v>
      </c>
      <c r="F137" s="101" t="s">
        <v>904</v>
      </c>
      <c r="G137" s="99">
        <v>5</v>
      </c>
      <c r="H137" s="99" t="s">
        <v>17</v>
      </c>
      <c r="I137" s="99" t="s">
        <v>701</v>
      </c>
      <c r="K137" s="108" t="str">
        <f t="shared" si="2"/>
        <v>513 411-2560 : ADVANCED INORGANIC CHEMISTRY I</v>
      </c>
    </row>
    <row r="138" spans="1:11">
      <c r="A138" s="4">
        <v>137</v>
      </c>
      <c r="B138" s="98">
        <v>45540</v>
      </c>
      <c r="C138" s="99" t="s">
        <v>80</v>
      </c>
      <c r="D138" s="99">
        <v>2</v>
      </c>
      <c r="E138" s="100" t="s">
        <v>777</v>
      </c>
      <c r="F138" s="101" t="s">
        <v>858</v>
      </c>
      <c r="G138" s="99">
        <v>67</v>
      </c>
      <c r="H138" s="99" t="s">
        <v>17</v>
      </c>
      <c r="I138" s="99" t="s">
        <v>701</v>
      </c>
      <c r="K138" s="108" t="str">
        <f t="shared" si="2"/>
        <v>SU 131-162 : INTRODUCTION TO INFORMATION MANAGEMENT / SU 147-166 (Lab)</v>
      </c>
    </row>
    <row r="139" spans="1:11">
      <c r="A139" s="4">
        <v>138</v>
      </c>
      <c r="B139" s="98">
        <v>45540</v>
      </c>
      <c r="C139" s="99" t="s">
        <v>87</v>
      </c>
      <c r="D139" s="99">
        <v>3</v>
      </c>
      <c r="E139" s="100" t="s">
        <v>778</v>
      </c>
      <c r="F139" s="101" t="s">
        <v>909</v>
      </c>
      <c r="G139" s="99">
        <v>6</v>
      </c>
      <c r="H139" s="99" t="s">
        <v>17</v>
      </c>
      <c r="I139" s="99" t="s">
        <v>700</v>
      </c>
      <c r="K139" s="108" t="str">
        <f t="shared" si="2"/>
        <v>511 331-2560 : MATHEMATICAL ANALYSIS (ฟ้า)</v>
      </c>
    </row>
    <row r="140" spans="1:11">
      <c r="A140" s="4">
        <v>139</v>
      </c>
      <c r="B140" s="98">
        <v>45540</v>
      </c>
      <c r="C140" s="99" t="s">
        <v>87</v>
      </c>
      <c r="D140" s="99">
        <v>3</v>
      </c>
      <c r="E140" s="100" t="s">
        <v>479</v>
      </c>
      <c r="F140" s="101" t="s">
        <v>880</v>
      </c>
      <c r="G140" s="99">
        <v>101</v>
      </c>
      <c r="H140" s="99" t="s">
        <v>17</v>
      </c>
      <c r="I140" s="99" t="s">
        <v>701</v>
      </c>
      <c r="K140" s="108" t="str">
        <f t="shared" si="2"/>
        <v>513 110-165 : ESSENTIAL CHEMISTRY FOR CHEMICAL ENGINEERS</v>
      </c>
    </row>
    <row r="141" spans="1:11">
      <c r="A141" s="4">
        <v>140</v>
      </c>
      <c r="B141" s="98">
        <v>45540</v>
      </c>
      <c r="C141" s="99" t="s">
        <v>87</v>
      </c>
      <c r="D141" s="99">
        <v>3</v>
      </c>
      <c r="E141" s="100" t="s">
        <v>481</v>
      </c>
      <c r="F141" s="101" t="s">
        <v>910</v>
      </c>
      <c r="G141" s="99">
        <v>29</v>
      </c>
      <c r="H141" s="99" t="s">
        <v>17</v>
      </c>
      <c r="I141" s="99" t="s">
        <v>701</v>
      </c>
      <c r="K141" s="108" t="str">
        <f t="shared" si="2"/>
        <v>511 331-165 : MATHEMATICAL ANALYSIS I</v>
      </c>
    </row>
    <row r="142" spans="1:11">
      <c r="A142" s="4">
        <v>141</v>
      </c>
      <c r="B142" s="98">
        <v>45540</v>
      </c>
      <c r="C142" s="99" t="s">
        <v>87</v>
      </c>
      <c r="D142" s="99">
        <v>3</v>
      </c>
      <c r="E142" s="100" t="s">
        <v>779</v>
      </c>
      <c r="F142" s="101" t="s">
        <v>898</v>
      </c>
      <c r="G142" s="99">
        <v>7</v>
      </c>
      <c r="H142" s="99" t="s">
        <v>17</v>
      </c>
      <c r="I142" s="99" t="s">
        <v>700</v>
      </c>
      <c r="K142" s="108" t="str">
        <f t="shared" si="2"/>
        <v>514 204-165 : GENERAL PHYSICS III (ฟ้า)</v>
      </c>
    </row>
    <row r="143" spans="1:11">
      <c r="A143" s="4">
        <v>142</v>
      </c>
      <c r="B143" s="98">
        <v>45540</v>
      </c>
      <c r="C143" s="99" t="s">
        <v>87</v>
      </c>
      <c r="D143" s="99">
        <v>3</v>
      </c>
      <c r="E143" s="100" t="s">
        <v>486</v>
      </c>
      <c r="F143" s="101" t="s">
        <v>903</v>
      </c>
      <c r="G143" s="99">
        <v>25</v>
      </c>
      <c r="H143" s="99" t="s">
        <v>17</v>
      </c>
      <c r="I143" s="99" t="s">
        <v>701</v>
      </c>
      <c r="K143" s="108" t="str">
        <f t="shared" si="2"/>
        <v>512 234-2560-165 : INVERTEBRATE ZOOLOGY LABORATORY</v>
      </c>
    </row>
    <row r="144" spans="1:11">
      <c r="A144" s="4">
        <v>143</v>
      </c>
      <c r="B144" s="98">
        <v>45540</v>
      </c>
      <c r="C144" s="99" t="s">
        <v>87</v>
      </c>
      <c r="D144" s="99">
        <v>3</v>
      </c>
      <c r="E144" s="100" t="s">
        <v>489</v>
      </c>
      <c r="F144" s="101" t="s">
        <v>880</v>
      </c>
      <c r="G144" s="99">
        <v>164</v>
      </c>
      <c r="H144" s="99" t="s">
        <v>17</v>
      </c>
      <c r="I144" s="99" t="s">
        <v>701</v>
      </c>
      <c r="K144" s="108" t="str">
        <f t="shared" si="2"/>
        <v>513 100-2560-165 : GENERAL CHEMISTRY</v>
      </c>
    </row>
    <row r="145" spans="1:11">
      <c r="A145" s="4">
        <v>144</v>
      </c>
      <c r="B145" s="98">
        <v>45540</v>
      </c>
      <c r="C145" s="99" t="s">
        <v>87</v>
      </c>
      <c r="D145" s="99">
        <v>3</v>
      </c>
      <c r="E145" s="100" t="s">
        <v>492</v>
      </c>
      <c r="F145" s="101" t="s">
        <v>911</v>
      </c>
      <c r="G145" s="99">
        <v>87</v>
      </c>
      <c r="H145" s="99" t="s">
        <v>17</v>
      </c>
      <c r="I145" s="99" t="s">
        <v>701</v>
      </c>
      <c r="K145" s="108" t="str">
        <f t="shared" si="2"/>
        <v>513 221-2560 : PHYSICAL CHEMISTRY I</v>
      </c>
    </row>
    <row r="146" spans="1:11">
      <c r="A146" s="4">
        <v>145</v>
      </c>
      <c r="B146" s="98">
        <v>45540</v>
      </c>
      <c r="C146" s="99" t="s">
        <v>87</v>
      </c>
      <c r="D146" s="99">
        <v>3</v>
      </c>
      <c r="E146" s="100" t="s">
        <v>780</v>
      </c>
      <c r="F146" s="97" t="s">
        <v>912</v>
      </c>
      <c r="G146" s="99">
        <v>165</v>
      </c>
      <c r="H146" s="99" t="s">
        <v>711</v>
      </c>
      <c r="I146" s="99" t="s">
        <v>701</v>
      </c>
      <c r="K146" s="108" t="str">
        <f t="shared" si="2"/>
        <v>517 321-2560-165 : PRINCIPLES OF PROGRAMMING LANGUAGES openbook</v>
      </c>
    </row>
    <row r="147" spans="1:11">
      <c r="A147" s="4">
        <v>146</v>
      </c>
      <c r="B147" s="98">
        <v>45540</v>
      </c>
      <c r="C147" s="99" t="s">
        <v>312</v>
      </c>
      <c r="D147" s="99">
        <v>4</v>
      </c>
      <c r="E147" s="100" t="s">
        <v>781</v>
      </c>
      <c r="F147" s="97" t="s">
        <v>913</v>
      </c>
      <c r="G147" s="99">
        <v>21</v>
      </c>
      <c r="H147" s="99" t="s">
        <v>17</v>
      </c>
      <c r="I147" s="99" t="s">
        <v>701</v>
      </c>
      <c r="K147" s="108" t="str">
        <f t="shared" si="2"/>
        <v>515 322-165 : EXPLORATORY DATA ANALYSIS AND DATA VISUALIZATION (Lab)</v>
      </c>
    </row>
    <row r="148" spans="1:11">
      <c r="A148" s="4">
        <v>147</v>
      </c>
      <c r="B148" s="98">
        <v>45540</v>
      </c>
      <c r="C148" s="99" t="s">
        <v>312</v>
      </c>
      <c r="D148" s="99">
        <v>4</v>
      </c>
      <c r="E148" s="100" t="s">
        <v>782</v>
      </c>
      <c r="F148" s="101" t="s">
        <v>889</v>
      </c>
      <c r="G148" s="99">
        <v>55</v>
      </c>
      <c r="H148" s="99" t="s">
        <v>17</v>
      </c>
      <c r="I148" s="99" t="s">
        <v>701</v>
      </c>
      <c r="K148" s="108" t="str">
        <f t="shared" si="2"/>
        <v>517 341-160 : COMPUTER NETWORK ARCHITECTURE AND TECHNOLOGY / 520 342-2560 (Lab)</v>
      </c>
    </row>
    <row r="149" spans="1:11">
      <c r="A149" s="4">
        <v>148</v>
      </c>
      <c r="B149" s="98">
        <v>45541</v>
      </c>
      <c r="C149" s="99" t="s">
        <v>11</v>
      </c>
      <c r="D149" s="99">
        <v>2</v>
      </c>
      <c r="E149" s="100" t="s">
        <v>502</v>
      </c>
      <c r="F149" s="101" t="s">
        <v>914</v>
      </c>
      <c r="G149" s="99">
        <v>27</v>
      </c>
      <c r="H149" s="99" t="s">
        <v>17</v>
      </c>
      <c r="I149" s="99" t="s">
        <v>701</v>
      </c>
      <c r="K149" s="108" t="str">
        <f t="shared" si="2"/>
        <v>512 362-2560 : DNA MARKERS AND APPLICATIONS</v>
      </c>
    </row>
    <row r="150" spans="1:11">
      <c r="A150" s="4">
        <v>149</v>
      </c>
      <c r="B150" s="98">
        <v>45541</v>
      </c>
      <c r="C150" s="99" t="s">
        <v>11</v>
      </c>
      <c r="D150" s="99">
        <v>2</v>
      </c>
      <c r="E150" s="100" t="s">
        <v>725</v>
      </c>
      <c r="F150" s="101" t="s">
        <v>868</v>
      </c>
      <c r="G150" s="99">
        <v>113</v>
      </c>
      <c r="H150" s="99" t="s">
        <v>17</v>
      </c>
      <c r="I150" s="99" t="s">
        <v>701</v>
      </c>
      <c r="K150" s="108" t="str">
        <f t="shared" si="2"/>
        <v>515 203-165 : STATISTICS FOR BIOLOGICAL SCIENTISTS I (Lab)</v>
      </c>
    </row>
    <row r="151" spans="1:11">
      <c r="A151" s="4">
        <v>150</v>
      </c>
      <c r="B151" s="98">
        <v>45541</v>
      </c>
      <c r="C151" s="99" t="s">
        <v>31</v>
      </c>
      <c r="D151" s="99">
        <v>3</v>
      </c>
      <c r="E151" s="100" t="s">
        <v>508</v>
      </c>
      <c r="F151" s="97" t="s">
        <v>915</v>
      </c>
      <c r="G151" s="99">
        <v>82</v>
      </c>
      <c r="H151" s="99" t="s">
        <v>17</v>
      </c>
      <c r="I151" s="99" t="s">
        <v>701</v>
      </c>
      <c r="K151" s="108" t="str">
        <f t="shared" si="2"/>
        <v>512 200-165 : STRUCTURES AND FUNCTIONS OF LIFE</v>
      </c>
    </row>
    <row r="152" spans="1:11">
      <c r="A152" s="4">
        <v>151</v>
      </c>
      <c r="B152" s="98">
        <v>45541</v>
      </c>
      <c r="C152" s="99" t="s">
        <v>31</v>
      </c>
      <c r="D152" s="99">
        <v>3</v>
      </c>
      <c r="E152" s="100" t="s">
        <v>783</v>
      </c>
      <c r="F152" s="101" t="s">
        <v>916</v>
      </c>
      <c r="G152" s="99">
        <v>89</v>
      </c>
      <c r="H152" s="99" t="s">
        <v>17</v>
      </c>
      <c r="I152" s="99" t="s">
        <v>700</v>
      </c>
      <c r="K152" s="108" t="str">
        <f t="shared" si="2"/>
        <v>517 222-165 : COMPUTER ORGANIZATION AND ARCHITECTURE (ฟ้า)</v>
      </c>
    </row>
    <row r="153" spans="1:11">
      <c r="A153" s="4">
        <v>152</v>
      </c>
      <c r="B153" s="98">
        <v>45541</v>
      </c>
      <c r="C153" s="99" t="s">
        <v>31</v>
      </c>
      <c r="D153" s="99">
        <v>3</v>
      </c>
      <c r="E153" s="100" t="s">
        <v>516</v>
      </c>
      <c r="F153" s="101" t="s">
        <v>904</v>
      </c>
      <c r="G153" s="99">
        <v>684</v>
      </c>
      <c r="H153" s="99" t="s">
        <v>17</v>
      </c>
      <c r="I153" s="99" t="s">
        <v>701</v>
      </c>
      <c r="K153" s="108" t="str">
        <f t="shared" si="2"/>
        <v>513 101-2560-165 : GENERAL CHEMISTRY I</v>
      </c>
    </row>
    <row r="154" spans="1:11">
      <c r="A154" s="4">
        <v>153</v>
      </c>
      <c r="B154" s="98">
        <v>45541</v>
      </c>
      <c r="C154" s="99" t="s">
        <v>31</v>
      </c>
      <c r="D154" s="99">
        <v>3</v>
      </c>
      <c r="E154" s="100" t="s">
        <v>519</v>
      </c>
      <c r="F154" s="97" t="s">
        <v>904</v>
      </c>
      <c r="G154" s="99">
        <v>187</v>
      </c>
      <c r="H154" s="99" t="s">
        <v>17</v>
      </c>
      <c r="I154" s="99" t="s">
        <v>701</v>
      </c>
      <c r="K154" s="108" t="str">
        <f t="shared" si="2"/>
        <v>513 101-165 : GENERAL CHEMISTRY I</v>
      </c>
    </row>
    <row r="155" ht="40.8" spans="1:11">
      <c r="A155" s="4">
        <v>154</v>
      </c>
      <c r="B155" s="98">
        <v>45541</v>
      </c>
      <c r="C155" s="99" t="s">
        <v>31</v>
      </c>
      <c r="D155" s="99">
        <v>3</v>
      </c>
      <c r="E155" s="100" t="s">
        <v>784</v>
      </c>
      <c r="F155" s="101" t="s">
        <v>841</v>
      </c>
      <c r="G155" s="99">
        <v>27</v>
      </c>
      <c r="H155" s="99" t="s">
        <v>17</v>
      </c>
      <c r="I155" s="99" t="s">
        <v>700</v>
      </c>
      <c r="K155" s="108" t="str">
        <f t="shared" si="2"/>
        <v>511 251-162-165 : NUMBER THEORY I (ฟ้า)</v>
      </c>
    </row>
    <row r="156" spans="1:11">
      <c r="A156" s="4">
        <v>155</v>
      </c>
      <c r="B156" s="98">
        <v>45541</v>
      </c>
      <c r="C156" s="99" t="s">
        <v>31</v>
      </c>
      <c r="D156" s="99">
        <v>3</v>
      </c>
      <c r="E156" s="100" t="s">
        <v>525</v>
      </c>
      <c r="F156" s="97" t="s">
        <v>828</v>
      </c>
      <c r="G156" s="99">
        <v>91</v>
      </c>
      <c r="H156" s="99" t="s">
        <v>17</v>
      </c>
      <c r="I156" s="99" t="s">
        <v>701</v>
      </c>
      <c r="K156" s="108" t="str">
        <f t="shared" si="2"/>
        <v>513 106-165 : BASIC CHEMISTRY</v>
      </c>
    </row>
    <row r="157" spans="1:11">
      <c r="A157" s="4">
        <v>156</v>
      </c>
      <c r="B157" s="98">
        <v>45541</v>
      </c>
      <c r="C157" s="99" t="s">
        <v>31</v>
      </c>
      <c r="D157" s="99">
        <v>3</v>
      </c>
      <c r="E157" s="100" t="s">
        <v>528</v>
      </c>
      <c r="F157" s="97" t="s">
        <v>917</v>
      </c>
      <c r="G157" s="99">
        <v>173</v>
      </c>
      <c r="H157" s="99" t="s">
        <v>17</v>
      </c>
      <c r="I157" s="99" t="s">
        <v>701</v>
      </c>
      <c r="K157" s="108" t="str">
        <f t="shared" si="2"/>
        <v>513 108-165 : GENERAL CHEMISTRY FOR PHARMACY STUDENTS</v>
      </c>
    </row>
    <row r="158" spans="1:11">
      <c r="A158" s="4">
        <v>157</v>
      </c>
      <c r="B158" s="98">
        <v>45541</v>
      </c>
      <c r="C158" s="99" t="s">
        <v>31</v>
      </c>
      <c r="D158" s="99">
        <v>3</v>
      </c>
      <c r="E158" s="100" t="s">
        <v>532</v>
      </c>
      <c r="F158" s="97" t="s">
        <v>918</v>
      </c>
      <c r="G158" s="99">
        <v>101</v>
      </c>
      <c r="H158" s="99" t="s">
        <v>17</v>
      </c>
      <c r="I158" s="99" t="s">
        <v>701</v>
      </c>
      <c r="K158" s="108" t="str">
        <f t="shared" si="2"/>
        <v>514 114-165 : ESSENTIAL PHYSICS FOR CHEMICAL ENGINEERS</v>
      </c>
    </row>
    <row r="159" spans="1:11">
      <c r="A159" s="4">
        <v>158</v>
      </c>
      <c r="B159" s="98">
        <v>45541</v>
      </c>
      <c r="C159" s="99" t="s">
        <v>31</v>
      </c>
      <c r="D159" s="99">
        <v>3</v>
      </c>
      <c r="E159" s="100" t="s">
        <v>785</v>
      </c>
      <c r="F159" s="97" t="s">
        <v>842</v>
      </c>
      <c r="G159" s="99">
        <v>13</v>
      </c>
      <c r="H159" s="99" t="s">
        <v>17</v>
      </c>
      <c r="I159" s="99" t="s">
        <v>700</v>
      </c>
      <c r="K159" s="108" t="str">
        <f t="shared" si="2"/>
        <v>513 352-2560 : ADVANCED ORGANIC CHEMISTRY II (ฟ้า)</v>
      </c>
    </row>
    <row r="160" spans="1:11">
      <c r="A160" s="4">
        <v>159</v>
      </c>
      <c r="B160" s="98">
        <v>45541</v>
      </c>
      <c r="C160" s="99" t="s">
        <v>31</v>
      </c>
      <c r="D160" s="99">
        <v>3</v>
      </c>
      <c r="E160" s="100" t="s">
        <v>786</v>
      </c>
      <c r="F160" s="101" t="s">
        <v>919</v>
      </c>
      <c r="G160" s="99">
        <v>12</v>
      </c>
      <c r="H160" s="99" t="s">
        <v>17</v>
      </c>
      <c r="I160" s="99" t="s">
        <v>731</v>
      </c>
      <c r="K160" s="108" t="str">
        <f t="shared" si="2"/>
        <v>515 351-165 : FUNDAMENTALS OF ACTUARIAL MATHEMATICS (ส้ม)</v>
      </c>
    </row>
    <row r="161" spans="1:11">
      <c r="A161" s="4">
        <v>160</v>
      </c>
      <c r="B161" s="98">
        <v>45541</v>
      </c>
      <c r="C161" s="99" t="s">
        <v>31</v>
      </c>
      <c r="D161" s="99">
        <v>3</v>
      </c>
      <c r="E161" s="100" t="s">
        <v>787</v>
      </c>
      <c r="F161" s="101" t="s">
        <v>918</v>
      </c>
      <c r="G161" s="99">
        <v>4</v>
      </c>
      <c r="H161" s="99" t="s">
        <v>17</v>
      </c>
      <c r="I161" s="99" t="s">
        <v>700</v>
      </c>
      <c r="K161" s="108" t="str">
        <f t="shared" si="2"/>
        <v>514 356-2560 : INTRODUCTION TO MATERIALS CHARACTERIZATION (ฟ้า)</v>
      </c>
    </row>
    <row r="162" spans="1:11">
      <c r="A162" s="4">
        <v>161</v>
      </c>
      <c r="B162" s="98">
        <v>45541</v>
      </c>
      <c r="C162" s="99" t="s">
        <v>31</v>
      </c>
      <c r="D162" s="99">
        <v>3</v>
      </c>
      <c r="E162" s="100" t="s">
        <v>542</v>
      </c>
      <c r="F162" s="101" t="s">
        <v>852</v>
      </c>
      <c r="G162" s="99">
        <v>50</v>
      </c>
      <c r="H162" s="99" t="s">
        <v>17</v>
      </c>
      <c r="I162" s="99" t="s">
        <v>701</v>
      </c>
      <c r="K162" s="108" t="str">
        <f t="shared" si="2"/>
        <v>522 251-2561-165 : DATABASE SYSTEMS FOR DATA SCIENCE</v>
      </c>
    </row>
    <row r="163" spans="1:11">
      <c r="A163" s="4">
        <v>162</v>
      </c>
      <c r="B163" s="98">
        <v>45541</v>
      </c>
      <c r="C163" s="99" t="s">
        <v>31</v>
      </c>
      <c r="D163" s="99">
        <v>3</v>
      </c>
      <c r="E163" s="100" t="s">
        <v>543</v>
      </c>
      <c r="F163" s="97" t="s">
        <v>872</v>
      </c>
      <c r="G163" s="99">
        <v>65</v>
      </c>
      <c r="H163" s="99" t="s">
        <v>17</v>
      </c>
      <c r="I163" s="99" t="s">
        <v>701</v>
      </c>
      <c r="K163" s="108" t="str">
        <f t="shared" si="2"/>
        <v>520 342-165 : SERVER SIDE WEB PROGRAMMING</v>
      </c>
    </row>
    <row r="164" spans="1:11">
      <c r="A164" s="4">
        <v>163</v>
      </c>
      <c r="B164" s="98">
        <v>45541</v>
      </c>
      <c r="C164" s="99" t="s">
        <v>31</v>
      </c>
      <c r="D164" s="99">
        <v>3</v>
      </c>
      <c r="E164" s="100" t="s">
        <v>788</v>
      </c>
      <c r="F164" s="101" t="s">
        <v>900</v>
      </c>
      <c r="G164" s="99">
        <v>7</v>
      </c>
      <c r="H164" s="99" t="s">
        <v>711</v>
      </c>
      <c r="I164" s="99" t="s">
        <v>701</v>
      </c>
      <c r="K164" s="108" t="str">
        <f t="shared" si="2"/>
        <v>519 391-165 : RESEARCH METHODOLOGY openbook</v>
      </c>
    </row>
    <row r="165" spans="1:11">
      <c r="A165" s="4">
        <v>164</v>
      </c>
      <c r="B165" s="98">
        <v>45541</v>
      </c>
      <c r="C165" s="99" t="s">
        <v>31</v>
      </c>
      <c r="D165" s="99">
        <v>3</v>
      </c>
      <c r="E165" s="100" t="s">
        <v>549</v>
      </c>
      <c r="F165" s="101" t="s">
        <v>837</v>
      </c>
      <c r="G165" s="99">
        <v>144</v>
      </c>
      <c r="H165" s="99" t="s">
        <v>17</v>
      </c>
      <c r="I165" s="99" t="s">
        <v>701</v>
      </c>
      <c r="K165" s="108" t="str">
        <f t="shared" si="2"/>
        <v>520 487-2560 : SELECTED TOPICS IN INFORMATION TECHNOLOGY VII</v>
      </c>
    </row>
    <row r="166" spans="1:11">
      <c r="A166" s="4">
        <v>165</v>
      </c>
      <c r="B166" s="98">
        <v>45541</v>
      </c>
      <c r="C166" s="99" t="s">
        <v>80</v>
      </c>
      <c r="D166" s="99"/>
      <c r="E166" s="100" t="s">
        <v>543</v>
      </c>
      <c r="F166" s="97" t="s">
        <v>872</v>
      </c>
      <c r="G166" s="99">
        <v>65</v>
      </c>
      <c r="H166" s="99" t="s">
        <v>17</v>
      </c>
      <c r="I166" s="99" t="s">
        <v>701</v>
      </c>
      <c r="K166" s="108" t="str">
        <f t="shared" si="2"/>
        <v>520 342-165 : SERVER SIDE WEB PROGRAMMING</v>
      </c>
    </row>
    <row r="167" spans="1:11">
      <c r="A167" s="4">
        <v>166</v>
      </c>
      <c r="B167" s="98">
        <v>45541</v>
      </c>
      <c r="C167" s="99" t="s">
        <v>87</v>
      </c>
      <c r="D167" s="99">
        <v>3</v>
      </c>
      <c r="E167" s="100" t="s">
        <v>552</v>
      </c>
      <c r="F167" s="97" t="s">
        <v>841</v>
      </c>
      <c r="G167" s="99">
        <v>51</v>
      </c>
      <c r="H167" s="99" t="s">
        <v>17</v>
      </c>
      <c r="I167" s="99" t="s">
        <v>701</v>
      </c>
      <c r="K167" s="108" t="str">
        <f t="shared" si="2"/>
        <v>511 351-2560-165 : INTRODUCTION TO GRAPH THEORY</v>
      </c>
    </row>
    <row r="168" spans="1:11">
      <c r="A168" s="4">
        <v>167</v>
      </c>
      <c r="B168" s="98">
        <v>45541</v>
      </c>
      <c r="C168" s="99" t="s">
        <v>87</v>
      </c>
      <c r="D168" s="99">
        <v>3</v>
      </c>
      <c r="E168" s="100" t="s">
        <v>789</v>
      </c>
      <c r="F168" s="97" t="s">
        <v>920</v>
      </c>
      <c r="G168" s="99">
        <v>6</v>
      </c>
      <c r="H168" s="99" t="s">
        <v>17</v>
      </c>
      <c r="I168" s="99" t="s">
        <v>700</v>
      </c>
      <c r="K168" s="108" t="str">
        <f t="shared" si="2"/>
        <v>514 302-165 : INTRODUCTION TO SOLID STATE PHYSICS (ฟ้า)</v>
      </c>
    </row>
    <row r="169" spans="1:11">
      <c r="A169" s="4">
        <v>168</v>
      </c>
      <c r="B169" s="98">
        <v>45541</v>
      </c>
      <c r="C169" s="99" t="s">
        <v>87</v>
      </c>
      <c r="D169" s="99">
        <v>3</v>
      </c>
      <c r="E169" s="100" t="s">
        <v>556</v>
      </c>
      <c r="F169" s="97" t="s">
        <v>879</v>
      </c>
      <c r="G169" s="99">
        <v>44</v>
      </c>
      <c r="H169" s="99" t="s">
        <v>17</v>
      </c>
      <c r="I169" s="99" t="s">
        <v>701</v>
      </c>
      <c r="K169" s="108" t="str">
        <f t="shared" si="2"/>
        <v>512 236-2560-165 : VERTEBRATE ZOOLOGY LABORATORY</v>
      </c>
    </row>
    <row r="170" spans="1:11">
      <c r="A170" s="4">
        <v>169</v>
      </c>
      <c r="B170" s="98">
        <v>45541</v>
      </c>
      <c r="C170" s="99" t="s">
        <v>87</v>
      </c>
      <c r="D170" s="99">
        <v>3</v>
      </c>
      <c r="E170" s="100" t="s">
        <v>558</v>
      </c>
      <c r="F170" s="97" t="s">
        <v>921</v>
      </c>
      <c r="G170" s="99">
        <v>149</v>
      </c>
      <c r="H170" s="99" t="s">
        <v>17</v>
      </c>
      <c r="I170" s="99" t="s">
        <v>701</v>
      </c>
      <c r="K170" s="108" t="str">
        <f t="shared" si="2"/>
        <v>513 251-2560-165 : ORGANIC CHEMISTRY I</v>
      </c>
    </row>
    <row r="171" spans="1:11">
      <c r="A171" s="4">
        <v>170</v>
      </c>
      <c r="B171" s="98">
        <v>45541</v>
      </c>
      <c r="C171" s="99" t="s">
        <v>87</v>
      </c>
      <c r="D171" s="99">
        <v>3</v>
      </c>
      <c r="E171" s="100" t="s">
        <v>562</v>
      </c>
      <c r="F171" s="97" t="s">
        <v>858</v>
      </c>
      <c r="G171" s="99">
        <v>45</v>
      </c>
      <c r="H171" s="99" t="s">
        <v>17</v>
      </c>
      <c r="I171" s="99" t="s">
        <v>701</v>
      </c>
      <c r="K171" s="108" t="str">
        <f t="shared" si="2"/>
        <v>515 231-165 : PROBABILITY AND STOCHASTIC PROCESS</v>
      </c>
    </row>
    <row r="172" spans="1:11">
      <c r="A172" s="4">
        <v>171</v>
      </c>
      <c r="B172" s="98">
        <v>45541</v>
      </c>
      <c r="C172" s="99" t="s">
        <v>87</v>
      </c>
      <c r="D172" s="99">
        <v>3</v>
      </c>
      <c r="E172" s="100" t="s">
        <v>564</v>
      </c>
      <c r="F172" s="101" t="s">
        <v>902</v>
      </c>
      <c r="G172" s="99">
        <v>43</v>
      </c>
      <c r="H172" s="99" t="s">
        <v>17</v>
      </c>
      <c r="I172" s="99" t="s">
        <v>701</v>
      </c>
      <c r="K172" s="108" t="str">
        <f t="shared" si="2"/>
        <v>518 211-165 : APPLIED MYCOLOGY</v>
      </c>
    </row>
    <row r="173" spans="1:11">
      <c r="A173" s="4">
        <v>172</v>
      </c>
      <c r="B173" s="98">
        <v>45541</v>
      </c>
      <c r="C173" s="99" t="s">
        <v>87</v>
      </c>
      <c r="D173" s="99">
        <v>3</v>
      </c>
      <c r="E173" s="100" t="s">
        <v>790</v>
      </c>
      <c r="F173" s="101" t="s">
        <v>836</v>
      </c>
      <c r="G173" s="99">
        <v>50</v>
      </c>
      <c r="H173" s="99" t="s">
        <v>17</v>
      </c>
      <c r="I173" s="99" t="s">
        <v>701</v>
      </c>
      <c r="K173" s="108" t="str">
        <f t="shared" si="2"/>
        <v>520 442-160 : WEB SERVICE (Lab)</v>
      </c>
    </row>
    <row r="174" spans="1:11">
      <c r="A174" s="4">
        <v>173</v>
      </c>
      <c r="B174" s="98">
        <v>45541</v>
      </c>
      <c r="C174" s="99" t="s">
        <v>87</v>
      </c>
      <c r="D174" s="99">
        <v>3</v>
      </c>
      <c r="E174" s="100" t="s">
        <v>791</v>
      </c>
      <c r="F174" s="101" t="s">
        <v>856</v>
      </c>
      <c r="G174" s="99">
        <v>77</v>
      </c>
      <c r="H174" s="99" t="s">
        <v>17</v>
      </c>
      <c r="I174" s="99" t="s">
        <v>701</v>
      </c>
      <c r="K174" s="108" t="str">
        <f t="shared" si="2"/>
        <v>520 212-2560 : LAWS AND ETHICS IN INFORMATION TECHNOLOGY / 522 301-2561-165</v>
      </c>
    </row>
    <row r="175" spans="1:11">
      <c r="A175" s="4">
        <v>174</v>
      </c>
      <c r="B175" s="98">
        <v>45542</v>
      </c>
      <c r="C175" s="99" t="s">
        <v>11</v>
      </c>
      <c r="D175" s="99">
        <v>2</v>
      </c>
      <c r="E175" s="100" t="s">
        <v>570</v>
      </c>
      <c r="F175" s="101" t="s">
        <v>922</v>
      </c>
      <c r="G175" s="99">
        <v>693</v>
      </c>
      <c r="H175" s="103" t="s">
        <v>17</v>
      </c>
      <c r="I175" s="99" t="s">
        <v>701</v>
      </c>
      <c r="K175" s="108" t="str">
        <f t="shared" si="2"/>
        <v>513 103-2560-165 : GENERAL CHEMISTRY LABORATORY I</v>
      </c>
    </row>
    <row r="176" spans="1:11">
      <c r="A176" s="4">
        <v>175</v>
      </c>
      <c r="B176" s="98">
        <v>45542</v>
      </c>
      <c r="C176" s="99" t="s">
        <v>11</v>
      </c>
      <c r="D176" s="99">
        <v>2</v>
      </c>
      <c r="E176" s="100" t="s">
        <v>575</v>
      </c>
      <c r="F176" s="101" t="s">
        <v>922</v>
      </c>
      <c r="G176" s="99">
        <v>155</v>
      </c>
      <c r="H176" s="99" t="s">
        <v>17</v>
      </c>
      <c r="I176" s="99" t="s">
        <v>701</v>
      </c>
      <c r="K176" s="108" t="str">
        <f t="shared" si="2"/>
        <v>513 103-165 : GENERAL CHEMISTRY LABORATORY I</v>
      </c>
    </row>
    <row r="177" spans="1:11">
      <c r="A177" s="4">
        <v>176</v>
      </c>
      <c r="B177" s="98">
        <v>45542</v>
      </c>
      <c r="C177" s="99" t="s">
        <v>11</v>
      </c>
      <c r="D177" s="99">
        <v>2</v>
      </c>
      <c r="E177" s="100" t="s">
        <v>579</v>
      </c>
      <c r="F177" s="101" t="s">
        <v>828</v>
      </c>
      <c r="G177" s="99">
        <v>92</v>
      </c>
      <c r="H177" s="99" t="s">
        <v>17</v>
      </c>
      <c r="I177" s="99" t="s">
        <v>701</v>
      </c>
      <c r="K177" s="108" t="str">
        <f t="shared" si="2"/>
        <v>513 107-2560-165 : BASIC CHEMISTRY LABORATORY</v>
      </c>
    </row>
    <row r="178" spans="1:11">
      <c r="A178" s="4">
        <v>177</v>
      </c>
      <c r="B178" s="98">
        <v>45542</v>
      </c>
      <c r="C178" s="99" t="s">
        <v>11</v>
      </c>
      <c r="D178" s="99">
        <v>2</v>
      </c>
      <c r="E178" s="100" t="s">
        <v>583</v>
      </c>
      <c r="F178" s="97" t="s">
        <v>839</v>
      </c>
      <c r="G178" s="99">
        <v>442</v>
      </c>
      <c r="H178" s="99" t="s">
        <v>17</v>
      </c>
      <c r="I178" s="99" t="s">
        <v>701</v>
      </c>
      <c r="K178" s="108" t="str">
        <f t="shared" si="2"/>
        <v>513 341-2560-165 : BIOCHEMISTRY I</v>
      </c>
    </row>
    <row r="179" spans="1:11">
      <c r="A179" s="4">
        <v>178</v>
      </c>
      <c r="B179" s="98">
        <v>45542</v>
      </c>
      <c r="C179" s="99" t="s">
        <v>31</v>
      </c>
      <c r="D179" s="99">
        <v>3</v>
      </c>
      <c r="E179" s="100" t="s">
        <v>587</v>
      </c>
      <c r="F179" s="97" t="s">
        <v>884</v>
      </c>
      <c r="G179" s="99">
        <v>58</v>
      </c>
      <c r="H179" s="99" t="s">
        <v>17</v>
      </c>
      <c r="I179" s="99" t="s">
        <v>701</v>
      </c>
      <c r="K179" s="108" t="str">
        <f t="shared" si="2"/>
        <v>511 122-167 : GAMES AND MATHEMATICAL SKILLS DEVELOPMENT</v>
      </c>
    </row>
    <row r="180" spans="1:11">
      <c r="A180" s="4">
        <v>179</v>
      </c>
      <c r="B180" s="98">
        <v>45542</v>
      </c>
      <c r="C180" s="99" t="s">
        <v>31</v>
      </c>
      <c r="D180" s="99">
        <v>3</v>
      </c>
      <c r="E180" s="100" t="s">
        <v>589</v>
      </c>
      <c r="F180" s="101" t="s">
        <v>923</v>
      </c>
      <c r="G180" s="99">
        <v>92</v>
      </c>
      <c r="H180" s="99" t="s">
        <v>17</v>
      </c>
      <c r="I180" s="99" t="s">
        <v>701</v>
      </c>
      <c r="K180" s="108" t="str">
        <f t="shared" si="2"/>
        <v>514 231-165 : PHYSICS DATA FOR SCIENTISTS</v>
      </c>
    </row>
    <row r="181" spans="1:11">
      <c r="A181" s="4">
        <v>180</v>
      </c>
      <c r="B181" s="98">
        <v>45542</v>
      </c>
      <c r="C181" s="99" t="s">
        <v>31</v>
      </c>
      <c r="D181" s="99">
        <v>3</v>
      </c>
      <c r="E181" s="100" t="s">
        <v>593</v>
      </c>
      <c r="F181" s="101" t="s">
        <v>919</v>
      </c>
      <c r="G181" s="99">
        <v>49</v>
      </c>
      <c r="H181" s="99" t="s">
        <v>17</v>
      </c>
      <c r="I181" s="99" t="s">
        <v>701</v>
      </c>
      <c r="K181" s="108" t="str">
        <f t="shared" si="2"/>
        <v>515 103-162 : PROBABILITY AND STATISTICS</v>
      </c>
    </row>
    <row r="182" spans="1:11">
      <c r="A182" s="4">
        <v>181</v>
      </c>
      <c r="B182" s="98">
        <v>45542</v>
      </c>
      <c r="C182" s="99" t="s">
        <v>31</v>
      </c>
      <c r="D182" s="99">
        <v>3</v>
      </c>
      <c r="E182" s="100" t="s">
        <v>792</v>
      </c>
      <c r="F182" s="101" t="s">
        <v>924</v>
      </c>
      <c r="G182" s="99">
        <v>12</v>
      </c>
      <c r="H182" s="99" t="s">
        <v>17</v>
      </c>
      <c r="I182" s="99" t="s">
        <v>700</v>
      </c>
      <c r="K182" s="108" t="str">
        <f t="shared" si="2"/>
        <v>521 301-162 : ELECTRICITY and MAGNETISM (ฟ้า)</v>
      </c>
    </row>
    <row r="183" spans="1:11">
      <c r="A183" s="4">
        <v>182</v>
      </c>
      <c r="B183" s="98">
        <v>45542</v>
      </c>
      <c r="C183" s="99" t="s">
        <v>31</v>
      </c>
      <c r="D183" s="99">
        <v>3</v>
      </c>
      <c r="E183" s="100" t="s">
        <v>793</v>
      </c>
      <c r="F183" s="97" t="s">
        <v>836</v>
      </c>
      <c r="G183" s="99">
        <v>80</v>
      </c>
      <c r="H183" s="99" t="s">
        <v>17</v>
      </c>
      <c r="I183" s="99" t="s">
        <v>701</v>
      </c>
      <c r="K183" s="108" t="str">
        <f t="shared" si="2"/>
        <v>517 211-2560-165 : DATA STRUCTURES (Lect)</v>
      </c>
    </row>
    <row r="184" spans="1:11">
      <c r="A184" s="4">
        <v>183</v>
      </c>
      <c r="B184" s="98">
        <v>45542</v>
      </c>
      <c r="C184" s="99" t="s">
        <v>31</v>
      </c>
      <c r="D184" s="99">
        <v>3</v>
      </c>
      <c r="E184" s="100" t="s">
        <v>794</v>
      </c>
      <c r="F184" s="101" t="s">
        <v>925</v>
      </c>
      <c r="G184" s="99">
        <v>111</v>
      </c>
      <c r="H184" s="99" t="s">
        <v>17</v>
      </c>
      <c r="I184" s="99" t="s">
        <v>701</v>
      </c>
      <c r="K184" s="108" t="str">
        <f t="shared" si="2"/>
        <v>520 213-2560-165 : FUNDAMENTALS OF DATA STRUCTURES AND APPLICATIONS (lect)</v>
      </c>
    </row>
    <row r="185" spans="1:11">
      <c r="A185" s="4">
        <v>184</v>
      </c>
      <c r="B185" s="98">
        <v>45542</v>
      </c>
      <c r="C185" s="99" t="s">
        <v>80</v>
      </c>
      <c r="D185" s="99">
        <v>2</v>
      </c>
      <c r="E185" s="100" t="s">
        <v>606</v>
      </c>
      <c r="F185" s="97" t="s">
        <v>922</v>
      </c>
      <c r="G185" s="99">
        <v>163</v>
      </c>
      <c r="H185" s="99" t="s">
        <v>17</v>
      </c>
      <c r="I185" s="99" t="s">
        <v>701</v>
      </c>
      <c r="K185" s="108" t="str">
        <f t="shared" si="2"/>
        <v>513 105-2560-165 : GENERAL CHEMISTRY LABORATORY</v>
      </c>
    </row>
    <row r="186" spans="1:11">
      <c r="A186" s="4">
        <v>185</v>
      </c>
      <c r="B186" s="98">
        <v>45542</v>
      </c>
      <c r="C186" s="99" t="s">
        <v>80</v>
      </c>
      <c r="D186" s="99">
        <v>2</v>
      </c>
      <c r="E186" s="100" t="s">
        <v>609</v>
      </c>
      <c r="F186" s="97" t="s">
        <v>842</v>
      </c>
      <c r="G186" s="99">
        <v>359</v>
      </c>
      <c r="H186" s="99" t="s">
        <v>17</v>
      </c>
      <c r="I186" s="99" t="s">
        <v>701</v>
      </c>
      <c r="K186" s="108" t="str">
        <f t="shared" si="2"/>
        <v>513 255-2560-165 : ORGANIC CHEMISTRY LABORATORY</v>
      </c>
    </row>
    <row r="187" spans="1:11">
      <c r="A187" s="4">
        <v>186</v>
      </c>
      <c r="B187" s="98">
        <v>45542</v>
      </c>
      <c r="C187" s="99" t="s">
        <v>87</v>
      </c>
      <c r="D187" s="99">
        <v>3</v>
      </c>
      <c r="E187" s="100" t="s">
        <v>612</v>
      </c>
      <c r="F187" s="97" t="s">
        <v>897</v>
      </c>
      <c r="G187" s="99">
        <v>49</v>
      </c>
      <c r="H187" s="99" t="s">
        <v>17</v>
      </c>
      <c r="I187" s="99" t="s">
        <v>701</v>
      </c>
      <c r="K187" s="108" t="str">
        <f t="shared" si="2"/>
        <v>511 203-2560-165 : VECTOR CALCULUS</v>
      </c>
    </row>
    <row r="188" spans="1:11">
      <c r="A188" s="4">
        <v>187</v>
      </c>
      <c r="B188" s="98">
        <v>45542</v>
      </c>
      <c r="C188" s="99" t="s">
        <v>87</v>
      </c>
      <c r="D188" s="99">
        <v>3</v>
      </c>
      <c r="E188" s="100" t="s">
        <v>795</v>
      </c>
      <c r="F188" s="97" t="s">
        <v>926</v>
      </c>
      <c r="G188" s="99">
        <v>13</v>
      </c>
      <c r="H188" s="99" t="s">
        <v>17</v>
      </c>
      <c r="I188" s="99" t="s">
        <v>700</v>
      </c>
      <c r="K188" s="108" t="str">
        <f t="shared" si="2"/>
        <v>512 314-165 : PLANT PHYSIOLOGY LABORATORY (ฟ้า)</v>
      </c>
    </row>
    <row r="189" spans="1:11">
      <c r="A189" s="4">
        <v>188</v>
      </c>
      <c r="B189" s="98">
        <v>45542</v>
      </c>
      <c r="C189" s="99" t="s">
        <v>87</v>
      </c>
      <c r="D189" s="99">
        <v>3</v>
      </c>
      <c r="E189" s="100" t="s">
        <v>617</v>
      </c>
      <c r="F189" s="101" t="s">
        <v>861</v>
      </c>
      <c r="G189" s="99">
        <v>45</v>
      </c>
      <c r="H189" s="99" t="s">
        <v>17</v>
      </c>
      <c r="I189" s="99" t="s">
        <v>701</v>
      </c>
      <c r="K189" s="108" t="str">
        <f t="shared" si="2"/>
        <v>511 245-162 : MATRICES AND VECTOR SPACES</v>
      </c>
    </row>
    <row r="190" spans="1:11">
      <c r="A190" s="4">
        <v>189</v>
      </c>
      <c r="B190" s="98">
        <v>45542</v>
      </c>
      <c r="C190" s="99" t="s">
        <v>87</v>
      </c>
      <c r="D190" s="99">
        <v>3</v>
      </c>
      <c r="E190" s="100" t="s">
        <v>796</v>
      </c>
      <c r="F190" s="101" t="s">
        <v>854</v>
      </c>
      <c r="G190" s="99">
        <v>7</v>
      </c>
      <c r="H190" s="99" t="s">
        <v>17</v>
      </c>
      <c r="I190" s="99" t="s">
        <v>700</v>
      </c>
      <c r="K190" s="108" t="str">
        <f t="shared" si="2"/>
        <v>519 331-165 : INTRODUCTION TO STOCHASTIC MODELS (ฟ้า)</v>
      </c>
    </row>
    <row r="191" spans="1:11">
      <c r="A191" s="4">
        <v>190</v>
      </c>
      <c r="B191" s="98">
        <v>45542</v>
      </c>
      <c r="C191" s="99" t="s">
        <v>87</v>
      </c>
      <c r="D191" s="99">
        <v>3</v>
      </c>
      <c r="E191" s="100" t="s">
        <v>621</v>
      </c>
      <c r="F191" s="101" t="s">
        <v>854</v>
      </c>
      <c r="G191" s="99">
        <v>22</v>
      </c>
      <c r="H191" s="99" t="s">
        <v>17</v>
      </c>
      <c r="I191" s="99" t="s">
        <v>701</v>
      </c>
      <c r="K191" s="108" t="str">
        <f t="shared" si="2"/>
        <v>519 461-2560 : INTRODUCTION TO STOCHASTIC PROCESS</v>
      </c>
    </row>
    <row r="192" spans="1:11">
      <c r="A192" s="4">
        <v>191</v>
      </c>
      <c r="B192" s="98">
        <v>45542</v>
      </c>
      <c r="C192" s="99" t="s">
        <v>87</v>
      </c>
      <c r="D192" s="99">
        <v>3</v>
      </c>
      <c r="E192" s="100" t="s">
        <v>797</v>
      </c>
      <c r="F192" s="101" t="s">
        <v>925</v>
      </c>
      <c r="G192" s="99">
        <v>111</v>
      </c>
      <c r="H192" s="99" t="s">
        <v>17</v>
      </c>
      <c r="I192" s="99" t="s">
        <v>701</v>
      </c>
      <c r="K192" s="108" t="str">
        <f t="shared" si="2"/>
        <v>520 213-2560-165 : FUNDAMENTALS OF DATA STRUCTURES AND APPLICATIONS (lab)</v>
      </c>
    </row>
    <row r="193" spans="1:11">
      <c r="A193" s="4">
        <v>192</v>
      </c>
      <c r="B193" s="98">
        <v>45542</v>
      </c>
      <c r="C193" s="99" t="s">
        <v>87</v>
      </c>
      <c r="D193" s="99">
        <v>3</v>
      </c>
      <c r="E193" s="100" t="s">
        <v>798</v>
      </c>
      <c r="F193" s="97" t="s">
        <v>871</v>
      </c>
      <c r="G193" s="99">
        <v>85</v>
      </c>
      <c r="H193" s="99" t="s">
        <v>17</v>
      </c>
      <c r="I193" s="99" t="s">
        <v>701</v>
      </c>
      <c r="K193" s="108" t="str">
        <f t="shared" si="2"/>
        <v>520 333-2560 : DATA MINING / 522 355-2561 / 522 356-165</v>
      </c>
    </row>
    <row r="194" spans="1:11">
      <c r="A194" s="4">
        <v>193</v>
      </c>
      <c r="B194" s="98">
        <v>45542</v>
      </c>
      <c r="C194" s="99" t="s">
        <v>87</v>
      </c>
      <c r="D194" s="99">
        <v>3</v>
      </c>
      <c r="E194" s="100" t="s">
        <v>628</v>
      </c>
      <c r="F194" s="101" t="s">
        <v>927</v>
      </c>
      <c r="G194" s="99">
        <v>45</v>
      </c>
      <c r="H194" s="99" t="s">
        <v>17</v>
      </c>
      <c r="I194" s="99" t="s">
        <v>701</v>
      </c>
      <c r="K194" s="108" t="str">
        <f t="shared" ref="K194:K220" si="3">TRIM(E194)</f>
        <v>524 245-166 : GEOGRAPHY AND INTRODUCTION TO GEOLOGY</v>
      </c>
    </row>
    <row r="195" spans="1:11">
      <c r="A195" s="4">
        <v>194</v>
      </c>
      <c r="B195" s="98">
        <v>45542</v>
      </c>
      <c r="C195" s="99" t="s">
        <v>87</v>
      </c>
      <c r="D195" s="99">
        <v>3</v>
      </c>
      <c r="E195" s="100" t="s">
        <v>928</v>
      </c>
      <c r="F195" s="101" t="s">
        <v>927</v>
      </c>
      <c r="G195" s="99">
        <v>5</v>
      </c>
      <c r="H195" s="103" t="s">
        <v>17</v>
      </c>
      <c r="I195" s="99" t="s">
        <v>700</v>
      </c>
      <c r="K195" s="108" t="str">
        <f t="shared" si="3"/>
        <v>514 342-2560 : SOLAR CELL TECHNOLOGY (ฟ้า)</v>
      </c>
    </row>
    <row r="196" spans="1:11">
      <c r="A196" s="4">
        <v>195</v>
      </c>
      <c r="B196" s="98">
        <v>45542</v>
      </c>
      <c r="C196" s="99" t="s">
        <v>312</v>
      </c>
      <c r="D196" s="99">
        <v>4</v>
      </c>
      <c r="E196" s="100" t="s">
        <v>800</v>
      </c>
      <c r="F196" s="97" t="s">
        <v>836</v>
      </c>
      <c r="G196" s="99">
        <v>80</v>
      </c>
      <c r="H196" s="99" t="s">
        <v>17</v>
      </c>
      <c r="I196" s="99" t="s">
        <v>701</v>
      </c>
      <c r="K196" s="108" t="str">
        <f t="shared" si="3"/>
        <v>517 211-2560-165 : DATA STRUCTURES (Lab)</v>
      </c>
    </row>
    <row r="197" spans="1:11">
      <c r="A197" s="4">
        <v>196</v>
      </c>
      <c r="B197" s="98">
        <v>45543</v>
      </c>
      <c r="C197" s="99" t="s">
        <v>11</v>
      </c>
      <c r="D197" s="99">
        <v>2</v>
      </c>
      <c r="E197" s="100" t="s">
        <v>632</v>
      </c>
      <c r="F197" s="97" t="s">
        <v>835</v>
      </c>
      <c r="G197" s="99">
        <v>29</v>
      </c>
      <c r="H197" s="99" t="s">
        <v>17</v>
      </c>
      <c r="I197" s="99" t="s">
        <v>701</v>
      </c>
      <c r="K197" s="108" t="str">
        <f t="shared" si="3"/>
        <v>512 334-2560-165 : ANIMAL PHYSIOLOGY LABORATORY</v>
      </c>
    </row>
    <row r="198" spans="1:11">
      <c r="A198" s="4">
        <v>197</v>
      </c>
      <c r="B198" s="98">
        <v>45543</v>
      </c>
      <c r="C198" s="99" t="s">
        <v>11</v>
      </c>
      <c r="D198" s="99">
        <v>2</v>
      </c>
      <c r="E198" s="100" t="s">
        <v>801</v>
      </c>
      <c r="F198" s="101" t="s">
        <v>828</v>
      </c>
      <c r="G198" s="99">
        <v>12</v>
      </c>
      <c r="H198" s="99" t="s">
        <v>17</v>
      </c>
      <c r="I198" s="99" t="s">
        <v>700</v>
      </c>
      <c r="K198" s="108" t="str">
        <f t="shared" si="3"/>
        <v>513 484-2560 : SELECTED TOPICS IN BIOCHEMISTRY (ฟ้า)</v>
      </c>
    </row>
    <row r="199" spans="1:11">
      <c r="A199" s="4">
        <v>198</v>
      </c>
      <c r="B199" s="98">
        <v>45543</v>
      </c>
      <c r="C199" s="99" t="s">
        <v>11</v>
      </c>
      <c r="D199" s="99">
        <v>2</v>
      </c>
      <c r="E199" s="100" t="s">
        <v>802</v>
      </c>
      <c r="F199" s="101" t="s">
        <v>880</v>
      </c>
      <c r="G199" s="99">
        <v>88</v>
      </c>
      <c r="H199" s="99" t="s">
        <v>17</v>
      </c>
      <c r="I199" s="99" t="s">
        <v>701</v>
      </c>
      <c r="K199" s="108" t="str">
        <f t="shared" si="3"/>
        <v>513 333-2560-165 : ANALYTICAL CHEMISTRY LABORATORY III</v>
      </c>
    </row>
    <row r="200" spans="1:11">
      <c r="A200" s="4">
        <v>199</v>
      </c>
      <c r="B200" s="98">
        <v>45543</v>
      </c>
      <c r="C200" s="99" t="s">
        <v>11</v>
      </c>
      <c r="D200" s="99">
        <v>2</v>
      </c>
      <c r="E200" s="100" t="s">
        <v>803</v>
      </c>
      <c r="F200" s="97" t="s">
        <v>868</v>
      </c>
      <c r="G200" s="99">
        <v>58</v>
      </c>
      <c r="H200" s="99" t="s">
        <v>711</v>
      </c>
      <c r="I200" s="99" t="s">
        <v>701</v>
      </c>
      <c r="K200" s="108" t="str">
        <f t="shared" si="3"/>
        <v>515 102-167 : STATISTICS FOR MATHEMATICS TEACHERS I openbook</v>
      </c>
    </row>
    <row r="201" spans="1:11">
      <c r="A201" s="4">
        <v>200</v>
      </c>
      <c r="B201" s="98">
        <v>45543</v>
      </c>
      <c r="C201" s="99" t="s">
        <v>11</v>
      </c>
      <c r="D201" s="99">
        <v>2</v>
      </c>
      <c r="E201" s="100" t="s">
        <v>642</v>
      </c>
      <c r="F201" s="97" t="s">
        <v>906</v>
      </c>
      <c r="G201" s="99">
        <v>113</v>
      </c>
      <c r="H201" s="99" t="s">
        <v>17</v>
      </c>
      <c r="I201" s="99" t="s">
        <v>701</v>
      </c>
      <c r="K201" s="108" t="str">
        <f t="shared" si="3"/>
        <v>518 331-2560-165 : YEAST BIOLOGY AND TECHNOLOGY</v>
      </c>
    </row>
    <row r="202" spans="1:11">
      <c r="A202" s="4">
        <v>201</v>
      </c>
      <c r="B202" s="98">
        <v>45543</v>
      </c>
      <c r="C202" s="99" t="s">
        <v>644</v>
      </c>
      <c r="D202" s="99">
        <v>1</v>
      </c>
      <c r="E202" s="100" t="s">
        <v>645</v>
      </c>
      <c r="F202" s="97" t="s">
        <v>906</v>
      </c>
      <c r="G202" s="99">
        <v>113</v>
      </c>
      <c r="H202" s="103" t="s">
        <v>17</v>
      </c>
      <c r="I202" s="99" t="s">
        <v>701</v>
      </c>
      <c r="K202" s="108" t="str">
        <f t="shared" si="3"/>
        <v>518 332-2560-165 : YEAST BIOLOGY AND TECHNOLOGY LABORATORY</v>
      </c>
    </row>
    <row r="203" spans="1:11">
      <c r="A203" s="4">
        <v>202</v>
      </c>
      <c r="B203" s="98">
        <v>45543</v>
      </c>
      <c r="C203" s="99" t="s">
        <v>31</v>
      </c>
      <c r="D203" s="99">
        <v>3</v>
      </c>
      <c r="E203" s="100" t="s">
        <v>804</v>
      </c>
      <c r="F203" s="101" t="s">
        <v>929</v>
      </c>
      <c r="G203" s="99">
        <v>173</v>
      </c>
      <c r="H203" s="99" t="s">
        <v>17</v>
      </c>
      <c r="I203" s="99" t="s">
        <v>701</v>
      </c>
      <c r="K203" s="108" t="str">
        <f t="shared" si="3"/>
        <v>511 103-165 : CALCULUS FOR BIOLOGICAL SCIENTISTS อ.สิทธิเศรษฐ์</v>
      </c>
    </row>
    <row r="204" spans="1:11">
      <c r="A204" s="4">
        <v>203</v>
      </c>
      <c r="B204" s="98">
        <v>45543</v>
      </c>
      <c r="C204" s="99" t="s">
        <v>31</v>
      </c>
      <c r="D204" s="99">
        <v>3</v>
      </c>
      <c r="E204" s="100" t="s">
        <v>650</v>
      </c>
      <c r="F204" s="97" t="s">
        <v>931</v>
      </c>
      <c r="G204" s="99">
        <v>143</v>
      </c>
      <c r="H204" s="99" t="s">
        <v>17</v>
      </c>
      <c r="I204" s="99" t="s">
        <v>701</v>
      </c>
      <c r="K204" s="108" t="str">
        <f t="shared" si="3"/>
        <v>511 114-165 : GENERAL MATHEMATICS</v>
      </c>
    </row>
    <row r="205" spans="1:11">
      <c r="A205" s="4">
        <v>204</v>
      </c>
      <c r="B205" s="98">
        <v>45543</v>
      </c>
      <c r="C205" s="99" t="s">
        <v>31</v>
      </c>
      <c r="D205" s="99">
        <v>3</v>
      </c>
      <c r="E205" s="100" t="s">
        <v>805</v>
      </c>
      <c r="F205" s="97" t="s">
        <v>932</v>
      </c>
      <c r="G205" s="99">
        <v>110</v>
      </c>
      <c r="H205" s="99" t="s">
        <v>17</v>
      </c>
      <c r="I205" s="99" t="s">
        <v>701</v>
      </c>
      <c r="K205" s="108" t="str">
        <f t="shared" si="3"/>
        <v>511 103-165 : CALCULUS FOR BIOLOGICAL SCIENTISTS / 511 113-165 อ.จิตติศักดิ์</v>
      </c>
    </row>
    <row r="206" spans="1:11">
      <c r="A206" s="4">
        <v>205</v>
      </c>
      <c r="B206" s="98">
        <v>45543</v>
      </c>
      <c r="C206" s="99" t="s">
        <v>31</v>
      </c>
      <c r="D206" s="99">
        <v>3</v>
      </c>
      <c r="E206" s="100" t="s">
        <v>656</v>
      </c>
      <c r="F206" s="97" t="s">
        <v>931</v>
      </c>
      <c r="G206" s="99">
        <v>60</v>
      </c>
      <c r="H206" s="99" t="s">
        <v>17</v>
      </c>
      <c r="I206" s="99" t="s">
        <v>701</v>
      </c>
      <c r="K206" s="108" t="str">
        <f t="shared" si="3"/>
        <v>511 108-2560-165 : CALCULUS FOR COMPUTATIONAL SCIENTISTS I</v>
      </c>
    </row>
    <row r="207" spans="1:11">
      <c r="A207" s="4">
        <v>206</v>
      </c>
      <c r="B207" s="98">
        <v>45543</v>
      </c>
      <c r="C207" s="106" t="s">
        <v>31</v>
      </c>
      <c r="D207" s="106">
        <v>3</v>
      </c>
      <c r="E207" s="106" t="s">
        <v>806</v>
      </c>
      <c r="F207" s="97" t="s">
        <v>905</v>
      </c>
      <c r="G207" s="106">
        <v>3</v>
      </c>
      <c r="H207" s="103" t="s">
        <v>17</v>
      </c>
      <c r="I207" s="103" t="s">
        <v>700</v>
      </c>
      <c r="K207" s="108" t="str">
        <f t="shared" si="3"/>
        <v>514 343-2560 : WIND ENERGY (ฟ้า)</v>
      </c>
    </row>
    <row r="208" spans="1:11">
      <c r="A208" s="4">
        <v>207</v>
      </c>
      <c r="B208" s="98">
        <v>45543</v>
      </c>
      <c r="C208" s="106" t="s">
        <v>31</v>
      </c>
      <c r="D208" s="106">
        <v>3</v>
      </c>
      <c r="E208" s="106" t="s">
        <v>659</v>
      </c>
      <c r="F208" s="97" t="s">
        <v>933</v>
      </c>
      <c r="G208" s="106">
        <v>36</v>
      </c>
      <c r="H208" s="103" t="s">
        <v>17</v>
      </c>
      <c r="I208" s="103" t="s">
        <v>701</v>
      </c>
      <c r="K208" s="108" t="str">
        <f t="shared" si="3"/>
        <v>516 410-2560 : CLEANER TECHNOLOGY AND ENVIRONMENTAL MANAGEMENT</v>
      </c>
    </row>
    <row r="209" spans="1:11">
      <c r="A209" s="4">
        <v>208</v>
      </c>
      <c r="B209" s="98">
        <v>45543</v>
      </c>
      <c r="C209" s="106" t="s">
        <v>31</v>
      </c>
      <c r="D209" s="106">
        <v>3</v>
      </c>
      <c r="E209" s="106" t="s">
        <v>664</v>
      </c>
      <c r="F209" s="101" t="s">
        <v>891</v>
      </c>
      <c r="G209" s="106">
        <v>174</v>
      </c>
      <c r="H209" s="103" t="s">
        <v>17</v>
      </c>
      <c r="I209" s="103" t="s">
        <v>701</v>
      </c>
      <c r="K209" s="108" t="str">
        <f t="shared" si="3"/>
        <v>518 101-165 : GENERAL MICROBIOLOGY</v>
      </c>
    </row>
    <row r="210" spans="1:11">
      <c r="A210" s="4">
        <v>209</v>
      </c>
      <c r="B210" s="98">
        <v>45543</v>
      </c>
      <c r="C210" s="106" t="s">
        <v>31</v>
      </c>
      <c r="D210" s="106">
        <v>3</v>
      </c>
      <c r="E210" s="106" t="s">
        <v>807</v>
      </c>
      <c r="F210" s="101" t="s">
        <v>877</v>
      </c>
      <c r="G210" s="106">
        <v>30</v>
      </c>
      <c r="H210" s="103" t="s">
        <v>17</v>
      </c>
      <c r="I210" s="103" t="s">
        <v>701</v>
      </c>
      <c r="K210" s="108" t="str">
        <f t="shared" si="3"/>
        <v>517 465-165 : FEATURE ENGINEERING / 517 481-2560 / 520 485-2560 / 522 352-2561 (Lect)</v>
      </c>
    </row>
    <row r="211" ht="40.8" spans="1:11">
      <c r="A211" s="4">
        <v>210</v>
      </c>
      <c r="B211" s="98">
        <v>45543</v>
      </c>
      <c r="C211" s="106" t="s">
        <v>80</v>
      </c>
      <c r="D211" s="106">
        <v>2</v>
      </c>
      <c r="E211" s="106" t="s">
        <v>671</v>
      </c>
      <c r="F211" s="101" t="s">
        <v>934</v>
      </c>
      <c r="G211" s="106">
        <v>378</v>
      </c>
      <c r="H211" s="103" t="s">
        <v>17</v>
      </c>
      <c r="I211" s="103" t="s">
        <v>701</v>
      </c>
      <c r="K211" s="108" t="str">
        <f t="shared" si="3"/>
        <v>513 233-2560-165 : ANALYTICAL CHEMISTRY LABORATORY I</v>
      </c>
    </row>
    <row r="212" spans="1:11">
      <c r="A212" s="4">
        <v>211</v>
      </c>
      <c r="B212" s="98">
        <v>45543</v>
      </c>
      <c r="C212" s="106" t="s">
        <v>80</v>
      </c>
      <c r="D212" s="106">
        <v>2</v>
      </c>
      <c r="E212" s="106" t="s">
        <v>675</v>
      </c>
      <c r="F212" s="97" t="s">
        <v>880</v>
      </c>
      <c r="G212" s="106">
        <v>50</v>
      </c>
      <c r="H212" s="103" t="s">
        <v>17</v>
      </c>
      <c r="I212" s="103" t="s">
        <v>701</v>
      </c>
      <c r="K212" s="108" t="str">
        <f t="shared" si="3"/>
        <v>513 431-2560 : ADVANCED ANALYTICAL CHEMISTRY I</v>
      </c>
    </row>
    <row r="213" spans="1:11">
      <c r="A213" s="4">
        <v>212</v>
      </c>
      <c r="B213" s="98">
        <v>45543</v>
      </c>
      <c r="C213" s="106" t="s">
        <v>80</v>
      </c>
      <c r="D213" s="106">
        <v>2</v>
      </c>
      <c r="E213" s="107" t="s">
        <v>808</v>
      </c>
      <c r="F213" s="97" t="s">
        <v>868</v>
      </c>
      <c r="G213" s="106">
        <v>58</v>
      </c>
      <c r="H213" s="103" t="s">
        <v>711</v>
      </c>
      <c r="I213" s="103" t="s">
        <v>701</v>
      </c>
      <c r="K213" s="108" t="str">
        <f t="shared" si="3"/>
        <v>515 102-167 : STATISTICS FOR MATHEMATICS TEACHERS I (Lab) openbook</v>
      </c>
    </row>
    <row r="214" spans="1:11">
      <c r="A214" s="4">
        <v>213</v>
      </c>
      <c r="B214" s="98">
        <v>45543</v>
      </c>
      <c r="C214" s="106" t="s">
        <v>87</v>
      </c>
      <c r="D214" s="106">
        <v>3</v>
      </c>
      <c r="E214" s="107" t="s">
        <v>809</v>
      </c>
      <c r="F214" s="101" t="s">
        <v>926</v>
      </c>
      <c r="G214" s="106">
        <v>14</v>
      </c>
      <c r="H214" s="103" t="s">
        <v>17</v>
      </c>
      <c r="I214" s="103" t="s">
        <v>700</v>
      </c>
      <c r="K214" s="108" t="str">
        <f t="shared" si="3"/>
        <v>512 313-2560-165 : PLANT PHYSIOLOGY (ฟ้า)</v>
      </c>
    </row>
    <row r="215" spans="1:11">
      <c r="A215" s="4">
        <v>214</v>
      </c>
      <c r="B215" s="98">
        <v>45543</v>
      </c>
      <c r="C215" s="106" t="s">
        <v>87</v>
      </c>
      <c r="D215" s="106">
        <v>3</v>
      </c>
      <c r="E215" s="106" t="s">
        <v>681</v>
      </c>
      <c r="F215" s="97" t="s">
        <v>882</v>
      </c>
      <c r="G215" s="106">
        <v>22</v>
      </c>
      <c r="H215" s="103" t="s">
        <v>17</v>
      </c>
      <c r="I215" s="103" t="s">
        <v>701</v>
      </c>
      <c r="K215" s="108" t="str">
        <f t="shared" si="3"/>
        <v>521 203-2562 : THERMODYNAMICS</v>
      </c>
    </row>
    <row r="216" spans="1:11">
      <c r="A216" s="4">
        <v>215</v>
      </c>
      <c r="B216" s="98">
        <v>45543</v>
      </c>
      <c r="C216" s="106" t="s">
        <v>87</v>
      </c>
      <c r="D216" s="106">
        <v>3</v>
      </c>
      <c r="E216" s="106" t="s">
        <v>810</v>
      </c>
      <c r="F216" s="101" t="s">
        <v>923</v>
      </c>
      <c r="G216" s="106">
        <v>12</v>
      </c>
      <c r="H216" s="103" t="s">
        <v>17</v>
      </c>
      <c r="I216" s="103" t="s">
        <v>731</v>
      </c>
      <c r="K216" s="108" t="str">
        <f t="shared" si="3"/>
        <v>521 303-162 : WAVES (ส้ม)</v>
      </c>
    </row>
    <row r="217" spans="1:11">
      <c r="A217" s="4">
        <v>216</v>
      </c>
      <c r="B217" s="98">
        <v>45543</v>
      </c>
      <c r="C217" s="106" t="s">
        <v>87</v>
      </c>
      <c r="D217" s="106">
        <v>3</v>
      </c>
      <c r="E217" s="106" t="s">
        <v>811</v>
      </c>
      <c r="F217" s="101" t="s">
        <v>869</v>
      </c>
      <c r="G217" s="106">
        <v>5</v>
      </c>
      <c r="H217" s="103" t="s">
        <v>711</v>
      </c>
      <c r="I217" s="103" t="s">
        <v>701</v>
      </c>
      <c r="K217" s="108" t="str">
        <f t="shared" si="3"/>
        <v>515 421-2560 : APPLIED MULTIVARIATE ANALYSIS (Lab) openbook</v>
      </c>
    </row>
    <row r="218" spans="1:11">
      <c r="A218" s="4">
        <v>217</v>
      </c>
      <c r="B218" s="98">
        <v>45543</v>
      </c>
      <c r="C218" s="106" t="s">
        <v>87</v>
      </c>
      <c r="D218" s="106">
        <v>3</v>
      </c>
      <c r="E218" s="106" t="s">
        <v>812</v>
      </c>
      <c r="F218" s="97" t="s">
        <v>935</v>
      </c>
      <c r="G218" s="106">
        <v>2</v>
      </c>
      <c r="H218" s="103" t="s">
        <v>17</v>
      </c>
      <c r="I218" s="103" t="s">
        <v>700</v>
      </c>
      <c r="K218" s="108" t="str">
        <f t="shared" si="3"/>
        <v>516 302-2560 : BASIC REMOTE SENSING (ฟ้า)</v>
      </c>
    </row>
    <row r="219" spans="1:11">
      <c r="A219" s="4">
        <v>218</v>
      </c>
      <c r="B219" s="98">
        <v>45543</v>
      </c>
      <c r="C219" s="106" t="s">
        <v>87</v>
      </c>
      <c r="D219" s="106">
        <v>3</v>
      </c>
      <c r="E219" s="106" t="s">
        <v>690</v>
      </c>
      <c r="F219" s="97" t="s">
        <v>936</v>
      </c>
      <c r="G219" s="106">
        <v>94</v>
      </c>
      <c r="H219" s="103" t="s">
        <v>17</v>
      </c>
      <c r="I219" s="103" t="s">
        <v>701</v>
      </c>
      <c r="K219" s="108" t="str">
        <f t="shared" si="3"/>
        <v>520 322-2560-165 : BUSINESS INFORMATION SYSTEMS</v>
      </c>
    </row>
    <row r="220" spans="1:11">
      <c r="A220" s="4">
        <v>219</v>
      </c>
      <c r="B220" s="98">
        <v>45543</v>
      </c>
      <c r="C220" s="106" t="s">
        <v>87</v>
      </c>
      <c r="D220" s="106">
        <v>3</v>
      </c>
      <c r="E220" s="106" t="s">
        <v>813</v>
      </c>
      <c r="F220" s="101" t="s">
        <v>877</v>
      </c>
      <c r="G220" s="106">
        <v>30</v>
      </c>
      <c r="H220" s="103" t="s">
        <v>17</v>
      </c>
      <c r="I220" s="103" t="s">
        <v>701</v>
      </c>
      <c r="K220" s="108" t="str">
        <f t="shared" si="3"/>
        <v>517 465-165 : FEATURE ENGINEERING / 517 481-2560 / 520 485-2560 / 522 352-2561 (Lab)</v>
      </c>
    </row>
  </sheetData>
  <pageMargins left="0.25" right="0.25" top="0.75" bottom="0.75" header="0.3" footer="0.3"/>
  <pageSetup paperSize="9" scale="39" fitToHeight="0" orientation="landscape"/>
  <headerFooter>
    <oddHeader>&amp;CPage 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220"/>
  <sheetViews>
    <sheetView workbookViewId="0">
      <selection activeCell="G2" sqref="G2"/>
    </sheetView>
  </sheetViews>
  <sheetFormatPr defaultColWidth="9.12962962962963" defaultRowHeight="13.8"/>
  <cols>
    <col min="1" max="1" width="4.37962962962963" style="91" customWidth="1"/>
    <col min="2" max="2" width="10.75" style="92" customWidth="1"/>
    <col min="3" max="3" width="13.25" style="93" customWidth="1"/>
    <col min="4" max="4" width="2.25" style="93" customWidth="1"/>
    <col min="5" max="5" width="89.8796296296296" style="93" customWidth="1"/>
    <col min="6" max="6" width="28.75" style="93" customWidth="1"/>
    <col min="7" max="7" width="4.87962962962963" style="93" customWidth="1"/>
    <col min="8" max="8" width="5.75" style="93" customWidth="1"/>
    <col min="9" max="9" width="7.37962962962963" style="93" customWidth="1"/>
    <col min="10" max="10" width="4.12962962962963" style="93" customWidth="1"/>
    <col min="11" max="11" width="4.25" style="93" customWidth="1"/>
    <col min="12" max="12" width="5.75" style="93" customWidth="1"/>
    <col min="13" max="13" width="7.25" style="93" customWidth="1"/>
    <col min="14" max="14" width="3.12962962962963" style="93" customWidth="1"/>
    <col min="15" max="15" width="10.25" style="93" customWidth="1"/>
    <col min="16" max="16" width="11.6296296296296" style="93" customWidth="1"/>
    <col min="17" max="17" width="7.75" style="93" customWidth="1"/>
    <col min="18" max="18" width="9.87962962962963" style="93" customWidth="1"/>
    <col min="19" max="19" width="12.3796296296296" style="93" customWidth="1"/>
    <col min="20" max="20" width="10.25" style="93" customWidth="1"/>
    <col min="21" max="21" width="5.25" style="93" customWidth="1"/>
    <col min="22" max="16384" width="9.12962962962963" style="93"/>
  </cols>
  <sheetData>
    <row r="1" s="90" customFormat="1" ht="15" spans="1:21">
      <c r="A1" s="94" t="s">
        <v>817</v>
      </c>
      <c r="B1" s="95" t="s">
        <v>1140</v>
      </c>
      <c r="C1" s="12" t="s">
        <v>1141</v>
      </c>
      <c r="D1" s="12" t="s">
        <v>818</v>
      </c>
      <c r="E1" s="96" t="s">
        <v>1142</v>
      </c>
      <c r="F1" s="12" t="s">
        <v>1143</v>
      </c>
      <c r="G1" s="12" t="s">
        <v>1144</v>
      </c>
      <c r="H1" s="12" t="s">
        <v>1145</v>
      </c>
      <c r="I1" s="12" t="s">
        <v>1146</v>
      </c>
      <c r="J1" s="12" t="s">
        <v>1147</v>
      </c>
      <c r="K1" s="12" t="s">
        <v>1148</v>
      </c>
      <c r="L1" s="12" t="s">
        <v>1149</v>
      </c>
      <c r="M1" s="12" t="s">
        <v>1150</v>
      </c>
      <c r="N1" s="12" t="s">
        <v>1151</v>
      </c>
      <c r="O1" s="12" t="s">
        <v>1152</v>
      </c>
      <c r="P1" s="12" t="s">
        <v>1153</v>
      </c>
      <c r="Q1" s="12" t="s">
        <v>1154</v>
      </c>
      <c r="R1" s="12" t="s">
        <v>1155</v>
      </c>
      <c r="S1" s="12" t="s">
        <v>1156</v>
      </c>
      <c r="T1" s="12" t="s">
        <v>695</v>
      </c>
      <c r="U1" s="12" t="s">
        <v>696</v>
      </c>
    </row>
    <row r="2" ht="20.4" spans="1:21">
      <c r="A2" s="97">
        <v>1</v>
      </c>
      <c r="B2" s="98">
        <v>45535</v>
      </c>
      <c r="C2" s="99" t="s">
        <v>11</v>
      </c>
      <c r="D2" s="99">
        <v>2</v>
      </c>
      <c r="E2" s="100" t="s">
        <v>699</v>
      </c>
      <c r="F2" s="101" t="s">
        <v>827</v>
      </c>
      <c r="G2" s="99">
        <v>28</v>
      </c>
      <c r="H2" s="102" t="b">
        <v>0</v>
      </c>
      <c r="I2" s="105">
        <v>42736</v>
      </c>
      <c r="J2" s="102">
        <v>1</v>
      </c>
      <c r="K2" s="102">
        <v>1</v>
      </c>
      <c r="L2" s="102" t="b">
        <v>0</v>
      </c>
      <c r="M2" s="105">
        <v>42736</v>
      </c>
      <c r="N2" s="102">
        <v>1</v>
      </c>
      <c r="O2" s="102" t="s">
        <v>1157</v>
      </c>
      <c r="P2" s="102" t="s">
        <v>1158</v>
      </c>
      <c r="Q2" s="102" t="s">
        <v>1159</v>
      </c>
      <c r="R2" s="102" t="s">
        <v>1160</v>
      </c>
      <c r="S2" s="102">
        <v>0</v>
      </c>
      <c r="T2" s="99" t="s">
        <v>17</v>
      </c>
      <c r="U2" s="99" t="s">
        <v>700</v>
      </c>
    </row>
    <row r="3" ht="20.4" spans="1:21">
      <c r="A3" s="97">
        <v>2</v>
      </c>
      <c r="B3" s="98">
        <v>45535</v>
      </c>
      <c r="C3" s="99" t="s">
        <v>11</v>
      </c>
      <c r="D3" s="99">
        <v>2</v>
      </c>
      <c r="E3" s="100" t="s">
        <v>20</v>
      </c>
      <c r="F3" s="97" t="s">
        <v>828</v>
      </c>
      <c r="G3" s="99">
        <v>44</v>
      </c>
      <c r="H3" s="102" t="b">
        <v>0</v>
      </c>
      <c r="I3" s="105">
        <v>42736</v>
      </c>
      <c r="J3" s="102">
        <v>1</v>
      </c>
      <c r="K3" s="102">
        <v>1</v>
      </c>
      <c r="L3" s="102" t="b">
        <v>0</v>
      </c>
      <c r="M3" s="105">
        <v>42736</v>
      </c>
      <c r="N3" s="102">
        <v>1</v>
      </c>
      <c r="O3" s="102" t="s">
        <v>1157</v>
      </c>
      <c r="P3" s="102" t="s">
        <v>1158</v>
      </c>
      <c r="Q3" s="102" t="s">
        <v>1159</v>
      </c>
      <c r="R3" s="102" t="s">
        <v>1160</v>
      </c>
      <c r="S3" s="102">
        <v>0</v>
      </c>
      <c r="T3" s="99" t="s">
        <v>17</v>
      </c>
      <c r="U3" s="99" t="s">
        <v>701</v>
      </c>
    </row>
    <row r="4" ht="20.4" spans="1:21">
      <c r="A4" s="97">
        <v>3</v>
      </c>
      <c r="B4" s="98">
        <v>45535</v>
      </c>
      <c r="C4" s="99" t="s">
        <v>11</v>
      </c>
      <c r="D4" s="99">
        <v>2</v>
      </c>
      <c r="E4" s="100" t="s">
        <v>702</v>
      </c>
      <c r="F4" s="101" t="s">
        <v>829</v>
      </c>
      <c r="G4" s="99">
        <v>134</v>
      </c>
      <c r="H4" s="102" t="b">
        <v>0</v>
      </c>
      <c r="I4" s="105">
        <v>42736</v>
      </c>
      <c r="J4" s="102">
        <v>1</v>
      </c>
      <c r="K4" s="102">
        <v>1</v>
      </c>
      <c r="L4" s="102" t="b">
        <v>0</v>
      </c>
      <c r="M4" s="105">
        <v>42736</v>
      </c>
      <c r="N4" s="102">
        <v>1</v>
      </c>
      <c r="O4" s="102" t="s">
        <v>1157</v>
      </c>
      <c r="P4" s="102" t="s">
        <v>1158</v>
      </c>
      <c r="Q4" s="102" t="s">
        <v>1159</v>
      </c>
      <c r="R4" s="102" t="s">
        <v>1160</v>
      </c>
      <c r="S4" s="102">
        <v>0</v>
      </c>
      <c r="T4" s="99" t="s">
        <v>17</v>
      </c>
      <c r="U4" s="99" t="s">
        <v>701</v>
      </c>
    </row>
    <row r="5" ht="40.8" spans="1:21">
      <c r="A5" s="97">
        <v>4</v>
      </c>
      <c r="B5" s="98">
        <v>45535</v>
      </c>
      <c r="C5" s="99" t="s">
        <v>31</v>
      </c>
      <c r="D5" s="99">
        <v>3</v>
      </c>
      <c r="E5" s="100" t="s">
        <v>32</v>
      </c>
      <c r="F5" s="101" t="s">
        <v>830</v>
      </c>
      <c r="G5" s="99">
        <v>126</v>
      </c>
      <c r="H5" s="102" t="b">
        <v>0</v>
      </c>
      <c r="I5" s="105">
        <v>42736</v>
      </c>
      <c r="J5" s="102">
        <v>1</v>
      </c>
      <c r="K5" s="102">
        <v>1</v>
      </c>
      <c r="L5" s="102" t="b">
        <v>0</v>
      </c>
      <c r="M5" s="105">
        <v>42736</v>
      </c>
      <c r="N5" s="102">
        <v>1</v>
      </c>
      <c r="O5" s="102" t="s">
        <v>1157</v>
      </c>
      <c r="P5" s="102" t="s">
        <v>1158</v>
      </c>
      <c r="Q5" s="102" t="s">
        <v>1159</v>
      </c>
      <c r="R5" s="102" t="s">
        <v>1160</v>
      </c>
      <c r="S5" s="102">
        <v>0</v>
      </c>
      <c r="T5" s="99" t="s">
        <v>17</v>
      </c>
      <c r="U5" s="99" t="s">
        <v>701</v>
      </c>
    </row>
    <row r="6" ht="20.4" spans="1:21">
      <c r="A6" s="97">
        <v>5</v>
      </c>
      <c r="B6" s="98">
        <v>45535</v>
      </c>
      <c r="C6" s="99" t="s">
        <v>31</v>
      </c>
      <c r="D6" s="99">
        <v>3</v>
      </c>
      <c r="E6" s="100" t="s">
        <v>38</v>
      </c>
      <c r="F6" s="101" t="s">
        <v>831</v>
      </c>
      <c r="G6" s="99">
        <v>239</v>
      </c>
      <c r="H6" s="102" t="b">
        <v>0</v>
      </c>
      <c r="I6" s="105">
        <v>42736</v>
      </c>
      <c r="J6" s="102">
        <v>1</v>
      </c>
      <c r="K6" s="102">
        <v>1</v>
      </c>
      <c r="L6" s="102" t="b">
        <v>0</v>
      </c>
      <c r="M6" s="105">
        <v>42736</v>
      </c>
      <c r="N6" s="102">
        <v>1</v>
      </c>
      <c r="O6" s="102" t="s">
        <v>1157</v>
      </c>
      <c r="P6" s="102" t="s">
        <v>1158</v>
      </c>
      <c r="Q6" s="102" t="s">
        <v>1159</v>
      </c>
      <c r="R6" s="102" t="s">
        <v>1160</v>
      </c>
      <c r="S6" s="102">
        <v>0</v>
      </c>
      <c r="T6" s="99" t="s">
        <v>17</v>
      </c>
      <c r="U6" s="99" t="s">
        <v>701</v>
      </c>
    </row>
    <row r="7" ht="40.8" spans="1:21">
      <c r="A7" s="97">
        <v>6</v>
      </c>
      <c r="B7" s="98">
        <v>45535</v>
      </c>
      <c r="C7" s="99" t="s">
        <v>31</v>
      </c>
      <c r="D7" s="99">
        <v>3</v>
      </c>
      <c r="E7" s="100" t="s">
        <v>43</v>
      </c>
      <c r="F7" s="101" t="s">
        <v>832</v>
      </c>
      <c r="G7" s="99">
        <v>400</v>
      </c>
      <c r="H7" s="102" t="b">
        <v>0</v>
      </c>
      <c r="I7" s="105">
        <v>42736</v>
      </c>
      <c r="J7" s="102">
        <v>1</v>
      </c>
      <c r="K7" s="102">
        <v>1</v>
      </c>
      <c r="L7" s="102" t="b">
        <v>0</v>
      </c>
      <c r="M7" s="105">
        <v>42736</v>
      </c>
      <c r="N7" s="102">
        <v>1</v>
      </c>
      <c r="O7" s="102" t="s">
        <v>1157</v>
      </c>
      <c r="P7" s="102" t="s">
        <v>1158</v>
      </c>
      <c r="Q7" s="102" t="s">
        <v>1159</v>
      </c>
      <c r="R7" s="102" t="s">
        <v>1160</v>
      </c>
      <c r="S7" s="102">
        <v>0</v>
      </c>
      <c r="T7" s="99" t="s">
        <v>17</v>
      </c>
      <c r="U7" s="99" t="s">
        <v>701</v>
      </c>
    </row>
    <row r="8" ht="20.4" spans="1:21">
      <c r="A8" s="97">
        <v>7</v>
      </c>
      <c r="B8" s="98">
        <v>45535</v>
      </c>
      <c r="C8" s="99" t="s">
        <v>31</v>
      </c>
      <c r="D8" s="99">
        <v>3</v>
      </c>
      <c r="E8" s="100" t="s">
        <v>48</v>
      </c>
      <c r="F8" s="97" t="s">
        <v>831</v>
      </c>
      <c r="G8" s="99">
        <v>58</v>
      </c>
      <c r="H8" s="102" t="b">
        <v>0</v>
      </c>
      <c r="I8" s="105">
        <v>42736</v>
      </c>
      <c r="J8" s="102">
        <v>1</v>
      </c>
      <c r="K8" s="102">
        <v>1</v>
      </c>
      <c r="L8" s="102" t="b">
        <v>0</v>
      </c>
      <c r="M8" s="105">
        <v>42736</v>
      </c>
      <c r="N8" s="102">
        <v>1</v>
      </c>
      <c r="O8" s="102" t="s">
        <v>1157</v>
      </c>
      <c r="P8" s="102" t="s">
        <v>1158</v>
      </c>
      <c r="Q8" s="102" t="s">
        <v>1159</v>
      </c>
      <c r="R8" s="102" t="s">
        <v>1160</v>
      </c>
      <c r="S8" s="102">
        <v>0</v>
      </c>
      <c r="T8" s="99" t="s">
        <v>17</v>
      </c>
      <c r="U8" s="99" t="s">
        <v>701</v>
      </c>
    </row>
    <row r="9" ht="20.4" spans="1:21">
      <c r="A9" s="97">
        <v>8</v>
      </c>
      <c r="B9" s="98">
        <v>45535</v>
      </c>
      <c r="C9" s="99" t="s">
        <v>31</v>
      </c>
      <c r="D9" s="99">
        <v>3</v>
      </c>
      <c r="E9" s="100" t="s">
        <v>52</v>
      </c>
      <c r="F9" s="97" t="s">
        <v>833</v>
      </c>
      <c r="G9" s="99">
        <v>24</v>
      </c>
      <c r="H9" s="102" t="b">
        <v>0</v>
      </c>
      <c r="I9" s="105">
        <v>42736</v>
      </c>
      <c r="J9" s="102">
        <v>1</v>
      </c>
      <c r="K9" s="102">
        <v>1</v>
      </c>
      <c r="L9" s="102" t="b">
        <v>0</v>
      </c>
      <c r="M9" s="105">
        <v>42736</v>
      </c>
      <c r="N9" s="102">
        <v>1</v>
      </c>
      <c r="O9" s="102" t="s">
        <v>1157</v>
      </c>
      <c r="P9" s="102" t="s">
        <v>1158</v>
      </c>
      <c r="Q9" s="102" t="s">
        <v>1159</v>
      </c>
      <c r="R9" s="102" t="s">
        <v>1160</v>
      </c>
      <c r="S9" s="102">
        <v>0</v>
      </c>
      <c r="T9" s="99" t="s">
        <v>17</v>
      </c>
      <c r="U9" s="99" t="s">
        <v>701</v>
      </c>
    </row>
    <row r="10" ht="20.4" spans="1:21">
      <c r="A10" s="97">
        <v>9</v>
      </c>
      <c r="B10" s="98">
        <v>45535</v>
      </c>
      <c r="C10" s="99" t="s">
        <v>31</v>
      </c>
      <c r="D10" s="99">
        <v>3</v>
      </c>
      <c r="E10" s="100" t="s">
        <v>57</v>
      </c>
      <c r="F10" s="97" t="s">
        <v>834</v>
      </c>
      <c r="G10" s="99">
        <v>136</v>
      </c>
      <c r="H10" s="102" t="b">
        <v>0</v>
      </c>
      <c r="I10" s="105">
        <v>42736</v>
      </c>
      <c r="J10" s="102">
        <v>1</v>
      </c>
      <c r="K10" s="102">
        <v>1</v>
      </c>
      <c r="L10" s="102" t="b">
        <v>0</v>
      </c>
      <c r="M10" s="105">
        <v>42736</v>
      </c>
      <c r="N10" s="102">
        <v>1</v>
      </c>
      <c r="O10" s="102" t="s">
        <v>1157</v>
      </c>
      <c r="P10" s="102" t="s">
        <v>1158</v>
      </c>
      <c r="Q10" s="102" t="s">
        <v>1159</v>
      </c>
      <c r="R10" s="102" t="s">
        <v>1160</v>
      </c>
      <c r="S10" s="102">
        <v>0</v>
      </c>
      <c r="T10" s="99" t="s">
        <v>17</v>
      </c>
      <c r="U10" s="99" t="s">
        <v>701</v>
      </c>
    </row>
    <row r="11" ht="20.4" spans="1:21">
      <c r="A11" s="97">
        <v>10</v>
      </c>
      <c r="B11" s="98">
        <v>45535</v>
      </c>
      <c r="C11" s="99" t="s">
        <v>31</v>
      </c>
      <c r="D11" s="99">
        <v>3</v>
      </c>
      <c r="E11" s="100" t="s">
        <v>62</v>
      </c>
      <c r="F11" s="97" t="s">
        <v>835</v>
      </c>
      <c r="G11" s="99">
        <v>63</v>
      </c>
      <c r="H11" s="102" t="b">
        <v>0</v>
      </c>
      <c r="I11" s="105">
        <v>42736</v>
      </c>
      <c r="J11" s="102">
        <v>1</v>
      </c>
      <c r="K11" s="102">
        <v>1</v>
      </c>
      <c r="L11" s="102" t="b">
        <v>0</v>
      </c>
      <c r="M11" s="105">
        <v>42736</v>
      </c>
      <c r="N11" s="102">
        <v>1</v>
      </c>
      <c r="O11" s="102" t="s">
        <v>1157</v>
      </c>
      <c r="P11" s="102" t="s">
        <v>1158</v>
      </c>
      <c r="Q11" s="102" t="s">
        <v>1159</v>
      </c>
      <c r="R11" s="102" t="s">
        <v>1160</v>
      </c>
      <c r="S11" s="102">
        <v>0</v>
      </c>
      <c r="T11" s="99" t="s">
        <v>17</v>
      </c>
      <c r="U11" s="99" t="s">
        <v>701</v>
      </c>
    </row>
    <row r="12" ht="20.4" spans="1:21">
      <c r="A12" s="97">
        <v>11</v>
      </c>
      <c r="B12" s="98">
        <v>45535</v>
      </c>
      <c r="C12" s="99" t="s">
        <v>31</v>
      </c>
      <c r="D12" s="99">
        <v>3</v>
      </c>
      <c r="E12" s="100" t="s">
        <v>703</v>
      </c>
      <c r="F12" s="97" t="s">
        <v>836</v>
      </c>
      <c r="G12" s="99">
        <v>42</v>
      </c>
      <c r="H12" s="102" t="b">
        <v>0</v>
      </c>
      <c r="I12" s="105">
        <v>42736</v>
      </c>
      <c r="J12" s="102">
        <v>1</v>
      </c>
      <c r="K12" s="102">
        <v>1</v>
      </c>
      <c r="L12" s="102" t="b">
        <v>0</v>
      </c>
      <c r="M12" s="105">
        <v>42736</v>
      </c>
      <c r="N12" s="102">
        <v>1</v>
      </c>
      <c r="O12" s="102" t="s">
        <v>1157</v>
      </c>
      <c r="P12" s="102" t="s">
        <v>1158</v>
      </c>
      <c r="Q12" s="102" t="s">
        <v>1159</v>
      </c>
      <c r="R12" s="102" t="s">
        <v>1160</v>
      </c>
      <c r="S12" s="102">
        <v>0</v>
      </c>
      <c r="T12" s="99" t="s">
        <v>17</v>
      </c>
      <c r="U12" s="99" t="s">
        <v>701</v>
      </c>
    </row>
    <row r="13" ht="20.4" spans="1:21">
      <c r="A13" s="97">
        <v>12</v>
      </c>
      <c r="B13" s="98">
        <v>45535</v>
      </c>
      <c r="C13" s="99" t="s">
        <v>31</v>
      </c>
      <c r="D13" s="99">
        <v>3</v>
      </c>
      <c r="E13" s="100" t="s">
        <v>72</v>
      </c>
      <c r="F13" s="97" t="s">
        <v>837</v>
      </c>
      <c r="G13" s="99">
        <v>134</v>
      </c>
      <c r="H13" s="102" t="b">
        <v>0</v>
      </c>
      <c r="I13" s="105">
        <v>42736</v>
      </c>
      <c r="J13" s="102">
        <v>1</v>
      </c>
      <c r="K13" s="102">
        <v>1</v>
      </c>
      <c r="L13" s="102" t="b">
        <v>0</v>
      </c>
      <c r="M13" s="105">
        <v>42736</v>
      </c>
      <c r="N13" s="102">
        <v>1</v>
      </c>
      <c r="O13" s="102" t="s">
        <v>1157</v>
      </c>
      <c r="P13" s="102" t="s">
        <v>1158</v>
      </c>
      <c r="Q13" s="102" t="s">
        <v>1159</v>
      </c>
      <c r="R13" s="102" t="s">
        <v>1160</v>
      </c>
      <c r="S13" s="102">
        <v>0</v>
      </c>
      <c r="T13" s="99" t="s">
        <v>17</v>
      </c>
      <c r="U13" s="99" t="s">
        <v>701</v>
      </c>
    </row>
    <row r="14" ht="20.4" spans="1:21">
      <c r="A14" s="97">
        <v>13</v>
      </c>
      <c r="B14" s="98">
        <v>45535</v>
      </c>
      <c r="C14" s="99" t="s">
        <v>31</v>
      </c>
      <c r="D14" s="99">
        <v>3</v>
      </c>
      <c r="E14" s="100" t="s">
        <v>76</v>
      </c>
      <c r="F14" s="97" t="s">
        <v>838</v>
      </c>
      <c r="G14" s="99">
        <v>97</v>
      </c>
      <c r="H14" s="102" t="b">
        <v>0</v>
      </c>
      <c r="I14" s="105">
        <v>42736</v>
      </c>
      <c r="J14" s="102">
        <v>1</v>
      </c>
      <c r="K14" s="102">
        <v>1</v>
      </c>
      <c r="L14" s="102" t="b">
        <v>0</v>
      </c>
      <c r="M14" s="105">
        <v>42736</v>
      </c>
      <c r="N14" s="102">
        <v>1</v>
      </c>
      <c r="O14" s="102" t="s">
        <v>1157</v>
      </c>
      <c r="P14" s="102" t="s">
        <v>1158</v>
      </c>
      <c r="Q14" s="102" t="s">
        <v>1159</v>
      </c>
      <c r="R14" s="102" t="s">
        <v>1160</v>
      </c>
      <c r="S14" s="102">
        <v>0</v>
      </c>
      <c r="T14" s="99" t="s">
        <v>17</v>
      </c>
      <c r="U14" s="99" t="s">
        <v>701</v>
      </c>
    </row>
    <row r="15" ht="20.4" spans="1:21">
      <c r="A15" s="97">
        <v>14</v>
      </c>
      <c r="B15" s="98">
        <v>45535</v>
      </c>
      <c r="C15" s="99" t="s">
        <v>80</v>
      </c>
      <c r="D15" s="99">
        <v>2</v>
      </c>
      <c r="E15" s="100" t="s">
        <v>81</v>
      </c>
      <c r="F15" s="101" t="s">
        <v>839</v>
      </c>
      <c r="G15" s="99">
        <v>423</v>
      </c>
      <c r="H15" s="102" t="b">
        <v>0</v>
      </c>
      <c r="I15" s="105">
        <v>42736</v>
      </c>
      <c r="J15" s="102">
        <v>1</v>
      </c>
      <c r="K15" s="102">
        <v>1</v>
      </c>
      <c r="L15" s="102" t="b">
        <v>0</v>
      </c>
      <c r="M15" s="105">
        <v>42736</v>
      </c>
      <c r="N15" s="102">
        <v>1</v>
      </c>
      <c r="O15" s="102" t="s">
        <v>1157</v>
      </c>
      <c r="P15" s="102" t="s">
        <v>1158</v>
      </c>
      <c r="Q15" s="102" t="s">
        <v>1159</v>
      </c>
      <c r="R15" s="102" t="s">
        <v>1160</v>
      </c>
      <c r="S15" s="102">
        <v>0</v>
      </c>
      <c r="T15" s="99" t="s">
        <v>17</v>
      </c>
      <c r="U15" s="99" t="s">
        <v>701</v>
      </c>
    </row>
    <row r="16" ht="40.8" spans="1:21">
      <c r="A16" s="97">
        <v>15</v>
      </c>
      <c r="B16" s="98">
        <v>45535</v>
      </c>
      <c r="C16" s="99" t="s">
        <v>87</v>
      </c>
      <c r="D16" s="99">
        <v>3</v>
      </c>
      <c r="E16" s="100" t="s">
        <v>88</v>
      </c>
      <c r="F16" s="101" t="s">
        <v>832</v>
      </c>
      <c r="G16" s="103">
        <v>200</v>
      </c>
      <c r="H16" s="102" t="b">
        <v>0</v>
      </c>
      <c r="I16" s="105">
        <v>42736</v>
      </c>
      <c r="J16" s="102">
        <v>1</v>
      </c>
      <c r="K16" s="102">
        <v>1</v>
      </c>
      <c r="L16" s="102" t="b">
        <v>0</v>
      </c>
      <c r="M16" s="105">
        <v>42736</v>
      </c>
      <c r="N16" s="102">
        <v>1</v>
      </c>
      <c r="O16" s="102" t="s">
        <v>1157</v>
      </c>
      <c r="P16" s="102" t="s">
        <v>1158</v>
      </c>
      <c r="Q16" s="102" t="s">
        <v>1159</v>
      </c>
      <c r="R16" s="102" t="s">
        <v>1160</v>
      </c>
      <c r="S16" s="102">
        <v>0</v>
      </c>
      <c r="T16" s="99" t="s">
        <v>17</v>
      </c>
      <c r="U16" s="99" t="s">
        <v>701</v>
      </c>
    </row>
    <row r="17" ht="20.4" spans="1:21">
      <c r="A17" s="97">
        <v>16</v>
      </c>
      <c r="B17" s="98">
        <v>45535</v>
      </c>
      <c r="C17" s="99" t="s">
        <v>87</v>
      </c>
      <c r="D17" s="99">
        <v>3</v>
      </c>
      <c r="E17" s="100" t="s">
        <v>92</v>
      </c>
      <c r="F17" s="101" t="s">
        <v>840</v>
      </c>
      <c r="G17" s="99">
        <v>255</v>
      </c>
      <c r="H17" s="102" t="b">
        <v>0</v>
      </c>
      <c r="I17" s="105">
        <v>42736</v>
      </c>
      <c r="J17" s="102">
        <v>1</v>
      </c>
      <c r="K17" s="102">
        <v>1</v>
      </c>
      <c r="L17" s="102" t="b">
        <v>0</v>
      </c>
      <c r="M17" s="105">
        <v>42736</v>
      </c>
      <c r="N17" s="102">
        <v>1</v>
      </c>
      <c r="O17" s="102" t="s">
        <v>1157</v>
      </c>
      <c r="P17" s="102" t="s">
        <v>1158</v>
      </c>
      <c r="Q17" s="102" t="s">
        <v>1159</v>
      </c>
      <c r="R17" s="102" t="s">
        <v>1160</v>
      </c>
      <c r="S17" s="102">
        <v>0</v>
      </c>
      <c r="T17" s="99" t="s">
        <v>17</v>
      </c>
      <c r="U17" s="99" t="s">
        <v>701</v>
      </c>
    </row>
    <row r="18" ht="20.4" spans="1:21">
      <c r="A18" s="97">
        <v>17</v>
      </c>
      <c r="B18" s="98">
        <v>45535</v>
      </c>
      <c r="C18" s="99" t="s">
        <v>87</v>
      </c>
      <c r="D18" s="99">
        <v>3</v>
      </c>
      <c r="E18" s="100" t="s">
        <v>95</v>
      </c>
      <c r="F18" s="101" t="s">
        <v>840</v>
      </c>
      <c r="G18" s="99">
        <v>112</v>
      </c>
      <c r="H18" s="102" t="b">
        <v>0</v>
      </c>
      <c r="I18" s="105">
        <v>42736</v>
      </c>
      <c r="J18" s="102">
        <v>1</v>
      </c>
      <c r="K18" s="102">
        <v>1</v>
      </c>
      <c r="L18" s="102" t="b">
        <v>0</v>
      </c>
      <c r="M18" s="105">
        <v>42736</v>
      </c>
      <c r="N18" s="102">
        <v>1</v>
      </c>
      <c r="O18" s="102" t="s">
        <v>1157</v>
      </c>
      <c r="P18" s="102" t="s">
        <v>1158</v>
      </c>
      <c r="Q18" s="102" t="s">
        <v>1159</v>
      </c>
      <c r="R18" s="102" t="s">
        <v>1160</v>
      </c>
      <c r="S18" s="102">
        <v>0</v>
      </c>
      <c r="T18" s="99" t="s">
        <v>17</v>
      </c>
      <c r="U18" s="99" t="s">
        <v>701</v>
      </c>
    </row>
    <row r="19" ht="20.4" spans="1:21">
      <c r="A19" s="97">
        <v>18</v>
      </c>
      <c r="B19" s="98">
        <v>45535</v>
      </c>
      <c r="C19" s="99" t="s">
        <v>87</v>
      </c>
      <c r="D19" s="99">
        <v>3</v>
      </c>
      <c r="E19" s="100" t="s">
        <v>705</v>
      </c>
      <c r="F19" s="97" t="s">
        <v>841</v>
      </c>
      <c r="G19" s="99">
        <v>46</v>
      </c>
      <c r="H19" s="102" t="b">
        <v>0</v>
      </c>
      <c r="I19" s="105">
        <v>42736</v>
      </c>
      <c r="J19" s="102">
        <v>1</v>
      </c>
      <c r="K19" s="102">
        <v>1</v>
      </c>
      <c r="L19" s="102" t="b">
        <v>0</v>
      </c>
      <c r="M19" s="105">
        <v>42736</v>
      </c>
      <c r="N19" s="102">
        <v>1</v>
      </c>
      <c r="O19" s="102" t="s">
        <v>1157</v>
      </c>
      <c r="P19" s="102" t="s">
        <v>1158</v>
      </c>
      <c r="Q19" s="102" t="s">
        <v>1159</v>
      </c>
      <c r="R19" s="102" t="s">
        <v>1160</v>
      </c>
      <c r="S19" s="102">
        <v>0</v>
      </c>
      <c r="T19" s="99" t="s">
        <v>17</v>
      </c>
      <c r="U19" s="99" t="s">
        <v>700</v>
      </c>
    </row>
    <row r="20" ht="20.4" spans="1:21">
      <c r="A20" s="97">
        <v>19</v>
      </c>
      <c r="B20" s="98">
        <v>45535</v>
      </c>
      <c r="C20" s="99" t="s">
        <v>87</v>
      </c>
      <c r="D20" s="99">
        <v>3</v>
      </c>
      <c r="E20" s="100" t="s">
        <v>103</v>
      </c>
      <c r="F20" s="97" t="s">
        <v>833</v>
      </c>
      <c r="G20" s="99">
        <v>24</v>
      </c>
      <c r="H20" s="102" t="b">
        <v>0</v>
      </c>
      <c r="I20" s="105">
        <v>42736</v>
      </c>
      <c r="J20" s="102">
        <v>1</v>
      </c>
      <c r="K20" s="102">
        <v>1</v>
      </c>
      <c r="L20" s="102" t="b">
        <v>0</v>
      </c>
      <c r="M20" s="105">
        <v>42736</v>
      </c>
      <c r="N20" s="102">
        <v>1</v>
      </c>
      <c r="O20" s="102" t="s">
        <v>1157</v>
      </c>
      <c r="P20" s="102" t="s">
        <v>1158</v>
      </c>
      <c r="Q20" s="102" t="s">
        <v>1159</v>
      </c>
      <c r="R20" s="102" t="s">
        <v>1160</v>
      </c>
      <c r="S20" s="102">
        <v>0</v>
      </c>
      <c r="T20" s="99" t="s">
        <v>17</v>
      </c>
      <c r="U20" s="99" t="s">
        <v>701</v>
      </c>
    </row>
    <row r="21" ht="20.4" spans="1:21">
      <c r="A21" s="97">
        <v>20</v>
      </c>
      <c r="B21" s="98">
        <v>45535</v>
      </c>
      <c r="C21" s="99" t="s">
        <v>87</v>
      </c>
      <c r="D21" s="99">
        <v>3</v>
      </c>
      <c r="E21" s="100" t="s">
        <v>107</v>
      </c>
      <c r="F21" s="101" t="s">
        <v>842</v>
      </c>
      <c r="G21" s="99">
        <v>281</v>
      </c>
      <c r="H21" s="102" t="b">
        <v>0</v>
      </c>
      <c r="I21" s="105">
        <v>42736</v>
      </c>
      <c r="J21" s="102">
        <v>1</v>
      </c>
      <c r="K21" s="102">
        <v>1</v>
      </c>
      <c r="L21" s="102" t="b">
        <v>0</v>
      </c>
      <c r="M21" s="105">
        <v>42736</v>
      </c>
      <c r="N21" s="102">
        <v>1</v>
      </c>
      <c r="O21" s="102" t="s">
        <v>1157</v>
      </c>
      <c r="P21" s="102" t="s">
        <v>1158</v>
      </c>
      <c r="Q21" s="102" t="s">
        <v>1159</v>
      </c>
      <c r="R21" s="102" t="s">
        <v>1160</v>
      </c>
      <c r="S21" s="102">
        <v>0</v>
      </c>
      <c r="T21" s="99" t="s">
        <v>17</v>
      </c>
      <c r="U21" s="99" t="s">
        <v>701</v>
      </c>
    </row>
    <row r="22" ht="20.4" spans="1:21">
      <c r="A22" s="97">
        <v>21</v>
      </c>
      <c r="B22" s="98">
        <v>45535</v>
      </c>
      <c r="C22" s="99" t="s">
        <v>87</v>
      </c>
      <c r="D22" s="99">
        <v>3</v>
      </c>
      <c r="E22" s="100" t="s">
        <v>111</v>
      </c>
      <c r="F22" s="101" t="s">
        <v>843</v>
      </c>
      <c r="G22" s="99">
        <v>96</v>
      </c>
      <c r="H22" s="102" t="b">
        <v>0</v>
      </c>
      <c r="I22" s="105">
        <v>42736</v>
      </c>
      <c r="J22" s="102">
        <v>1</v>
      </c>
      <c r="K22" s="102">
        <v>1</v>
      </c>
      <c r="L22" s="102" t="b">
        <v>0</v>
      </c>
      <c r="M22" s="105">
        <v>42736</v>
      </c>
      <c r="N22" s="102">
        <v>1</v>
      </c>
      <c r="O22" s="102" t="s">
        <v>1157</v>
      </c>
      <c r="P22" s="102" t="s">
        <v>1158</v>
      </c>
      <c r="Q22" s="102" t="s">
        <v>1159</v>
      </c>
      <c r="R22" s="102" t="s">
        <v>1160</v>
      </c>
      <c r="S22" s="102">
        <v>0</v>
      </c>
      <c r="T22" s="99" t="s">
        <v>17</v>
      </c>
      <c r="U22" s="99" t="s">
        <v>701</v>
      </c>
    </row>
    <row r="23" ht="20.4" spans="1:21">
      <c r="A23" s="97">
        <v>22</v>
      </c>
      <c r="B23" s="98">
        <v>45535</v>
      </c>
      <c r="C23" s="99" t="s">
        <v>87</v>
      </c>
      <c r="D23" s="99">
        <v>3</v>
      </c>
      <c r="E23" s="100" t="s">
        <v>706</v>
      </c>
      <c r="F23" s="101" t="s">
        <v>836</v>
      </c>
      <c r="G23" s="99">
        <v>42</v>
      </c>
      <c r="H23" s="102" t="b">
        <v>0</v>
      </c>
      <c r="I23" s="105">
        <v>42736</v>
      </c>
      <c r="J23" s="102">
        <v>1</v>
      </c>
      <c r="K23" s="102">
        <v>1</v>
      </c>
      <c r="L23" s="102" t="b">
        <v>0</v>
      </c>
      <c r="M23" s="105">
        <v>42736</v>
      </c>
      <c r="N23" s="102">
        <v>1</v>
      </c>
      <c r="O23" s="102" t="s">
        <v>1157</v>
      </c>
      <c r="P23" s="102" t="s">
        <v>1158</v>
      </c>
      <c r="Q23" s="102" t="s">
        <v>1159</v>
      </c>
      <c r="R23" s="102" t="s">
        <v>1160</v>
      </c>
      <c r="S23" s="102">
        <v>0</v>
      </c>
      <c r="T23" s="99" t="s">
        <v>17</v>
      </c>
      <c r="U23" s="99" t="s">
        <v>701</v>
      </c>
    </row>
    <row r="24" ht="20.4" spans="1:21">
      <c r="A24" s="97">
        <v>23</v>
      </c>
      <c r="B24" s="98">
        <v>45535</v>
      </c>
      <c r="C24" s="99" t="s">
        <v>87</v>
      </c>
      <c r="D24" s="99">
        <v>3</v>
      </c>
      <c r="E24" s="100" t="s">
        <v>707</v>
      </c>
      <c r="F24" s="101" t="s">
        <v>844</v>
      </c>
      <c r="G24" s="99">
        <v>105</v>
      </c>
      <c r="H24" s="102" t="b">
        <v>0</v>
      </c>
      <c r="I24" s="105">
        <v>42736</v>
      </c>
      <c r="J24" s="102">
        <v>1</v>
      </c>
      <c r="K24" s="102">
        <v>1</v>
      </c>
      <c r="L24" s="102" t="b">
        <v>0</v>
      </c>
      <c r="M24" s="105">
        <v>42736</v>
      </c>
      <c r="N24" s="102">
        <v>1</v>
      </c>
      <c r="O24" s="102" t="s">
        <v>1157</v>
      </c>
      <c r="P24" s="102" t="s">
        <v>1158</v>
      </c>
      <c r="Q24" s="102" t="s">
        <v>1159</v>
      </c>
      <c r="R24" s="102" t="s">
        <v>1160</v>
      </c>
      <c r="S24" s="102">
        <v>0</v>
      </c>
      <c r="T24" s="99" t="s">
        <v>17</v>
      </c>
      <c r="U24" s="99" t="s">
        <v>701</v>
      </c>
    </row>
    <row r="25" ht="20.4" spans="1:21">
      <c r="A25" s="97">
        <v>24</v>
      </c>
      <c r="B25" s="98">
        <v>45535</v>
      </c>
      <c r="C25" s="99" t="s">
        <v>87</v>
      </c>
      <c r="D25" s="99">
        <v>3</v>
      </c>
      <c r="E25" s="100" t="s">
        <v>708</v>
      </c>
      <c r="F25" s="101" t="s">
        <v>845</v>
      </c>
      <c r="G25" s="99">
        <v>57</v>
      </c>
      <c r="H25" s="102" t="b">
        <v>0</v>
      </c>
      <c r="I25" s="105">
        <v>42736</v>
      </c>
      <c r="J25" s="102">
        <v>1</v>
      </c>
      <c r="K25" s="102">
        <v>1</v>
      </c>
      <c r="L25" s="102" t="b">
        <v>0</v>
      </c>
      <c r="M25" s="105">
        <v>42736</v>
      </c>
      <c r="N25" s="102">
        <v>1</v>
      </c>
      <c r="O25" s="102" t="s">
        <v>1157</v>
      </c>
      <c r="P25" s="102" t="s">
        <v>1158</v>
      </c>
      <c r="Q25" s="102" t="s">
        <v>1159</v>
      </c>
      <c r="R25" s="102" t="s">
        <v>1160</v>
      </c>
      <c r="S25" s="102">
        <v>0</v>
      </c>
      <c r="T25" s="99" t="s">
        <v>17</v>
      </c>
      <c r="U25" s="99" t="s">
        <v>700</v>
      </c>
    </row>
    <row r="26" ht="20.4" spans="1:21">
      <c r="A26" s="97">
        <v>25</v>
      </c>
      <c r="B26" s="98">
        <v>45536</v>
      </c>
      <c r="C26" s="99" t="s">
        <v>11</v>
      </c>
      <c r="D26" s="99">
        <v>2</v>
      </c>
      <c r="E26" s="100" t="s">
        <v>709</v>
      </c>
      <c r="F26" s="101" t="s">
        <v>846</v>
      </c>
      <c r="G26" s="99">
        <v>5</v>
      </c>
      <c r="H26" s="102" t="b">
        <v>0</v>
      </c>
      <c r="I26" s="105">
        <v>42736</v>
      </c>
      <c r="J26" s="102">
        <v>1</v>
      </c>
      <c r="K26" s="102">
        <v>1</v>
      </c>
      <c r="L26" s="102" t="b">
        <v>0</v>
      </c>
      <c r="M26" s="105">
        <v>42736</v>
      </c>
      <c r="N26" s="102">
        <v>1</v>
      </c>
      <c r="O26" s="102" t="s">
        <v>1157</v>
      </c>
      <c r="P26" s="102" t="s">
        <v>1158</v>
      </c>
      <c r="Q26" s="102" t="s">
        <v>1159</v>
      </c>
      <c r="R26" s="102" t="s">
        <v>1160</v>
      </c>
      <c r="S26" s="102">
        <v>0</v>
      </c>
      <c r="T26" s="99" t="s">
        <v>17</v>
      </c>
      <c r="U26" s="99" t="s">
        <v>700</v>
      </c>
    </row>
    <row r="27" ht="20.4" spans="1:21">
      <c r="A27" s="97">
        <v>26</v>
      </c>
      <c r="B27" s="98">
        <v>45536</v>
      </c>
      <c r="C27" s="99" t="s">
        <v>11</v>
      </c>
      <c r="D27" s="99">
        <v>2</v>
      </c>
      <c r="E27" s="100" t="s">
        <v>131</v>
      </c>
      <c r="F27" s="101" t="s">
        <v>847</v>
      </c>
      <c r="G27" s="99">
        <v>95</v>
      </c>
      <c r="H27" s="102" t="b">
        <v>0</v>
      </c>
      <c r="I27" s="105">
        <v>42736</v>
      </c>
      <c r="J27" s="102">
        <v>1</v>
      </c>
      <c r="K27" s="102">
        <v>1</v>
      </c>
      <c r="L27" s="102" t="b">
        <v>0</v>
      </c>
      <c r="M27" s="105">
        <v>42736</v>
      </c>
      <c r="N27" s="102">
        <v>1</v>
      </c>
      <c r="O27" s="102" t="s">
        <v>1157</v>
      </c>
      <c r="P27" s="102" t="s">
        <v>1158</v>
      </c>
      <c r="Q27" s="102" t="s">
        <v>1159</v>
      </c>
      <c r="R27" s="102" t="s">
        <v>1160</v>
      </c>
      <c r="S27" s="102">
        <v>0</v>
      </c>
      <c r="T27" s="99" t="s">
        <v>17</v>
      </c>
      <c r="U27" s="99" t="s">
        <v>701</v>
      </c>
    </row>
    <row r="28" ht="20.4" spans="1:21">
      <c r="A28" s="97">
        <v>27</v>
      </c>
      <c r="B28" s="98">
        <v>45536</v>
      </c>
      <c r="C28" s="99" t="s">
        <v>11</v>
      </c>
      <c r="D28" s="99">
        <v>2</v>
      </c>
      <c r="E28" s="100" t="s">
        <v>710</v>
      </c>
      <c r="F28" s="97" t="s">
        <v>848</v>
      </c>
      <c r="G28" s="99">
        <v>20</v>
      </c>
      <c r="H28" s="102" t="b">
        <v>0</v>
      </c>
      <c r="I28" s="105">
        <v>42736</v>
      </c>
      <c r="J28" s="102">
        <v>1</v>
      </c>
      <c r="K28" s="102">
        <v>1</v>
      </c>
      <c r="L28" s="102" t="b">
        <v>0</v>
      </c>
      <c r="M28" s="105">
        <v>42736</v>
      </c>
      <c r="N28" s="102">
        <v>1</v>
      </c>
      <c r="O28" s="102" t="s">
        <v>1157</v>
      </c>
      <c r="P28" s="102" t="s">
        <v>1158</v>
      </c>
      <c r="Q28" s="102" t="s">
        <v>1159</v>
      </c>
      <c r="R28" s="102" t="s">
        <v>1160</v>
      </c>
      <c r="S28" s="102">
        <v>0</v>
      </c>
      <c r="T28" s="99" t="s">
        <v>711</v>
      </c>
      <c r="U28" s="99" t="s">
        <v>701</v>
      </c>
    </row>
    <row r="29" ht="20.4" spans="1:21">
      <c r="A29" s="97">
        <v>28</v>
      </c>
      <c r="B29" s="98">
        <v>45536</v>
      </c>
      <c r="C29" s="99" t="s">
        <v>11</v>
      </c>
      <c r="D29" s="99">
        <v>2</v>
      </c>
      <c r="E29" s="100" t="s">
        <v>712</v>
      </c>
      <c r="F29" s="97" t="s">
        <v>849</v>
      </c>
      <c r="G29" s="99">
        <v>107</v>
      </c>
      <c r="H29" s="102" t="b">
        <v>0</v>
      </c>
      <c r="I29" s="105">
        <v>42736</v>
      </c>
      <c r="J29" s="102">
        <v>1</v>
      </c>
      <c r="K29" s="102">
        <v>1</v>
      </c>
      <c r="L29" s="102" t="b">
        <v>0</v>
      </c>
      <c r="M29" s="105">
        <v>42736</v>
      </c>
      <c r="N29" s="102">
        <v>1</v>
      </c>
      <c r="O29" s="102" t="s">
        <v>1157</v>
      </c>
      <c r="P29" s="102" t="s">
        <v>1158</v>
      </c>
      <c r="Q29" s="102" t="s">
        <v>1159</v>
      </c>
      <c r="R29" s="102" t="s">
        <v>1160</v>
      </c>
      <c r="S29" s="102">
        <v>0</v>
      </c>
      <c r="T29" s="99" t="s">
        <v>17</v>
      </c>
      <c r="U29" s="99" t="s">
        <v>701</v>
      </c>
    </row>
    <row r="30" ht="20.4" spans="1:21">
      <c r="A30" s="97">
        <v>29</v>
      </c>
      <c r="B30" s="98">
        <v>45536</v>
      </c>
      <c r="C30" s="99" t="s">
        <v>31</v>
      </c>
      <c r="D30" s="99">
        <v>3</v>
      </c>
      <c r="E30" s="100" t="s">
        <v>713</v>
      </c>
      <c r="F30" s="97" t="s">
        <v>850</v>
      </c>
      <c r="G30" s="99">
        <v>382</v>
      </c>
      <c r="H30" s="102" t="b">
        <v>0</v>
      </c>
      <c r="I30" s="105">
        <v>42736</v>
      </c>
      <c r="J30" s="102">
        <v>1</v>
      </c>
      <c r="K30" s="102">
        <v>1</v>
      </c>
      <c r="L30" s="102" t="b">
        <v>0</v>
      </c>
      <c r="M30" s="105">
        <v>42736</v>
      </c>
      <c r="N30" s="102">
        <v>1</v>
      </c>
      <c r="O30" s="102" t="s">
        <v>1157</v>
      </c>
      <c r="P30" s="102" t="s">
        <v>1158</v>
      </c>
      <c r="Q30" s="102" t="s">
        <v>1159</v>
      </c>
      <c r="R30" s="102" t="s">
        <v>1160</v>
      </c>
      <c r="S30" s="102">
        <v>0</v>
      </c>
      <c r="T30" s="99" t="s">
        <v>17</v>
      </c>
      <c r="U30" s="99" t="s">
        <v>701</v>
      </c>
    </row>
    <row r="31" ht="40.8" spans="1:21">
      <c r="A31" s="97">
        <v>30</v>
      </c>
      <c r="B31" s="98">
        <v>45536</v>
      </c>
      <c r="C31" s="99" t="s">
        <v>31</v>
      </c>
      <c r="D31" s="99">
        <v>3</v>
      </c>
      <c r="E31" s="100" t="s">
        <v>149</v>
      </c>
      <c r="F31" s="101" t="s">
        <v>830</v>
      </c>
      <c r="G31" s="99">
        <v>44</v>
      </c>
      <c r="H31" s="102" t="b">
        <v>0</v>
      </c>
      <c r="I31" s="105">
        <v>42736</v>
      </c>
      <c r="J31" s="102">
        <v>1</v>
      </c>
      <c r="K31" s="102">
        <v>1</v>
      </c>
      <c r="L31" s="102" t="b">
        <v>0</v>
      </c>
      <c r="M31" s="105">
        <v>42736</v>
      </c>
      <c r="N31" s="102">
        <v>1</v>
      </c>
      <c r="O31" s="102" t="s">
        <v>1157</v>
      </c>
      <c r="P31" s="102" t="s">
        <v>1158</v>
      </c>
      <c r="Q31" s="102" t="s">
        <v>1159</v>
      </c>
      <c r="R31" s="102" t="s">
        <v>1160</v>
      </c>
      <c r="S31" s="102">
        <v>0</v>
      </c>
      <c r="T31" s="99" t="s">
        <v>17</v>
      </c>
      <c r="U31" s="99" t="s">
        <v>701</v>
      </c>
    </row>
    <row r="32" ht="20.4" spans="1:21">
      <c r="A32" s="97">
        <v>31</v>
      </c>
      <c r="B32" s="98">
        <v>45536</v>
      </c>
      <c r="C32" s="99" t="s">
        <v>31</v>
      </c>
      <c r="D32" s="99">
        <v>3</v>
      </c>
      <c r="E32" s="100" t="s">
        <v>714</v>
      </c>
      <c r="F32" s="101" t="s">
        <v>851</v>
      </c>
      <c r="G32" s="99">
        <v>19</v>
      </c>
      <c r="H32" s="102" t="b">
        <v>0</v>
      </c>
      <c r="I32" s="105">
        <v>42736</v>
      </c>
      <c r="J32" s="102">
        <v>1</v>
      </c>
      <c r="K32" s="102">
        <v>1</v>
      </c>
      <c r="L32" s="102" t="b">
        <v>0</v>
      </c>
      <c r="M32" s="105">
        <v>42736</v>
      </c>
      <c r="N32" s="102">
        <v>1</v>
      </c>
      <c r="O32" s="102" t="s">
        <v>1157</v>
      </c>
      <c r="P32" s="102" t="s">
        <v>1158</v>
      </c>
      <c r="Q32" s="102" t="s">
        <v>1159</v>
      </c>
      <c r="R32" s="102" t="s">
        <v>1160</v>
      </c>
      <c r="S32" s="102">
        <v>0</v>
      </c>
      <c r="T32" s="99" t="s">
        <v>17</v>
      </c>
      <c r="U32" s="99" t="s">
        <v>700</v>
      </c>
    </row>
    <row r="33" ht="20.4" spans="1:21">
      <c r="A33" s="97">
        <v>32</v>
      </c>
      <c r="B33" s="98">
        <v>45536</v>
      </c>
      <c r="C33" s="99" t="s">
        <v>31</v>
      </c>
      <c r="D33" s="99">
        <v>3</v>
      </c>
      <c r="E33" s="100" t="s">
        <v>156</v>
      </c>
      <c r="F33" s="101" t="s">
        <v>852</v>
      </c>
      <c r="G33" s="99">
        <v>83</v>
      </c>
      <c r="H33" s="102" t="b">
        <v>0</v>
      </c>
      <c r="I33" s="105">
        <v>42736</v>
      </c>
      <c r="J33" s="102">
        <v>1</v>
      </c>
      <c r="K33" s="102">
        <v>1</v>
      </c>
      <c r="L33" s="102" t="b">
        <v>0</v>
      </c>
      <c r="M33" s="105">
        <v>42736</v>
      </c>
      <c r="N33" s="102">
        <v>1</v>
      </c>
      <c r="O33" s="102" t="s">
        <v>1157</v>
      </c>
      <c r="P33" s="102" t="s">
        <v>1158</v>
      </c>
      <c r="Q33" s="102" t="s">
        <v>1159</v>
      </c>
      <c r="R33" s="102" t="s">
        <v>1160</v>
      </c>
      <c r="S33" s="102">
        <v>0</v>
      </c>
      <c r="T33" s="99" t="s">
        <v>17</v>
      </c>
      <c r="U33" s="99" t="s">
        <v>701</v>
      </c>
    </row>
    <row r="34" ht="20.4" spans="1:21">
      <c r="A34" s="97">
        <v>33</v>
      </c>
      <c r="B34" s="98">
        <v>45536</v>
      </c>
      <c r="C34" s="99" t="s">
        <v>31</v>
      </c>
      <c r="D34" s="99">
        <v>3</v>
      </c>
      <c r="E34" s="100" t="s">
        <v>715</v>
      </c>
      <c r="F34" s="101" t="s">
        <v>853</v>
      </c>
      <c r="G34" s="99">
        <v>75</v>
      </c>
      <c r="H34" s="102" t="b">
        <v>0</v>
      </c>
      <c r="I34" s="105">
        <v>42736</v>
      </c>
      <c r="J34" s="102">
        <v>1</v>
      </c>
      <c r="K34" s="102">
        <v>1</v>
      </c>
      <c r="L34" s="102" t="b">
        <v>0</v>
      </c>
      <c r="M34" s="105">
        <v>42736</v>
      </c>
      <c r="N34" s="102">
        <v>1</v>
      </c>
      <c r="O34" s="102" t="s">
        <v>1157</v>
      </c>
      <c r="P34" s="102" t="s">
        <v>1158</v>
      </c>
      <c r="Q34" s="102" t="s">
        <v>1159</v>
      </c>
      <c r="R34" s="102" t="s">
        <v>1160</v>
      </c>
      <c r="S34" s="102">
        <v>0</v>
      </c>
      <c r="T34" s="99" t="s">
        <v>17</v>
      </c>
      <c r="U34" s="99" t="s">
        <v>701</v>
      </c>
    </row>
    <row r="35" ht="20.4" spans="1:21">
      <c r="A35" s="97">
        <v>34</v>
      </c>
      <c r="B35" s="98">
        <v>45536</v>
      </c>
      <c r="C35" s="99" t="s">
        <v>31</v>
      </c>
      <c r="D35" s="99">
        <v>3</v>
      </c>
      <c r="E35" s="100" t="s">
        <v>716</v>
      </c>
      <c r="F35" s="97" t="s">
        <v>854</v>
      </c>
      <c r="G35" s="99">
        <v>8</v>
      </c>
      <c r="H35" s="102" t="b">
        <v>0</v>
      </c>
      <c r="I35" s="105">
        <v>42736</v>
      </c>
      <c r="J35" s="102">
        <v>1</v>
      </c>
      <c r="K35" s="102">
        <v>1</v>
      </c>
      <c r="L35" s="102" t="b">
        <v>0</v>
      </c>
      <c r="M35" s="105">
        <v>42736</v>
      </c>
      <c r="N35" s="102">
        <v>1</v>
      </c>
      <c r="O35" s="102" t="s">
        <v>1157</v>
      </c>
      <c r="P35" s="102" t="s">
        <v>1158</v>
      </c>
      <c r="Q35" s="102" t="s">
        <v>1159</v>
      </c>
      <c r="R35" s="102" t="s">
        <v>1160</v>
      </c>
      <c r="S35" s="102">
        <v>0</v>
      </c>
      <c r="T35" s="99" t="s">
        <v>17</v>
      </c>
      <c r="U35" s="99" t="s">
        <v>701</v>
      </c>
    </row>
    <row r="36" ht="20.4" spans="1:21">
      <c r="A36" s="97">
        <v>35</v>
      </c>
      <c r="B36" s="98">
        <v>45536</v>
      </c>
      <c r="C36" s="99" t="s">
        <v>31</v>
      </c>
      <c r="D36" s="99">
        <v>3</v>
      </c>
      <c r="E36" s="100" t="s">
        <v>717</v>
      </c>
      <c r="F36" s="101" t="s">
        <v>855</v>
      </c>
      <c r="G36" s="99">
        <v>47</v>
      </c>
      <c r="H36" s="102" t="b">
        <v>0</v>
      </c>
      <c r="I36" s="105">
        <v>42736</v>
      </c>
      <c r="J36" s="102">
        <v>1</v>
      </c>
      <c r="K36" s="102">
        <v>1</v>
      </c>
      <c r="L36" s="102" t="b">
        <v>0</v>
      </c>
      <c r="M36" s="105">
        <v>42736</v>
      </c>
      <c r="N36" s="102">
        <v>1</v>
      </c>
      <c r="O36" s="102" t="s">
        <v>1157</v>
      </c>
      <c r="P36" s="102" t="s">
        <v>1158</v>
      </c>
      <c r="Q36" s="102" t="s">
        <v>1159</v>
      </c>
      <c r="R36" s="102" t="s">
        <v>1160</v>
      </c>
      <c r="S36" s="102">
        <v>0</v>
      </c>
      <c r="T36" s="99" t="s">
        <v>17</v>
      </c>
      <c r="U36" s="99" t="s">
        <v>700</v>
      </c>
    </row>
    <row r="37" ht="20.4" spans="1:21">
      <c r="A37" s="97">
        <v>36</v>
      </c>
      <c r="B37" s="98">
        <v>45536</v>
      </c>
      <c r="C37" s="99" t="s">
        <v>31</v>
      </c>
      <c r="D37" s="99">
        <v>3</v>
      </c>
      <c r="E37" s="100" t="s">
        <v>171</v>
      </c>
      <c r="F37" s="97" t="s">
        <v>856</v>
      </c>
      <c r="G37" s="99">
        <v>107</v>
      </c>
      <c r="H37" s="102" t="b">
        <v>0</v>
      </c>
      <c r="I37" s="105">
        <v>42736</v>
      </c>
      <c r="J37" s="102">
        <v>1</v>
      </c>
      <c r="K37" s="102">
        <v>1</v>
      </c>
      <c r="L37" s="102" t="b">
        <v>0</v>
      </c>
      <c r="M37" s="105">
        <v>42736</v>
      </c>
      <c r="N37" s="102">
        <v>1</v>
      </c>
      <c r="O37" s="102" t="s">
        <v>1157</v>
      </c>
      <c r="P37" s="102" t="s">
        <v>1158</v>
      </c>
      <c r="Q37" s="102" t="s">
        <v>1159</v>
      </c>
      <c r="R37" s="102" t="s">
        <v>1160</v>
      </c>
      <c r="S37" s="102">
        <v>0</v>
      </c>
      <c r="T37" s="99" t="s">
        <v>17</v>
      </c>
      <c r="U37" s="99" t="s">
        <v>701</v>
      </c>
    </row>
    <row r="38" ht="20.4" spans="1:21">
      <c r="A38" s="97">
        <v>37</v>
      </c>
      <c r="B38" s="98">
        <v>45536</v>
      </c>
      <c r="C38" s="99" t="s">
        <v>31</v>
      </c>
      <c r="D38" s="99">
        <v>3</v>
      </c>
      <c r="E38" s="100" t="s">
        <v>857</v>
      </c>
      <c r="F38" s="97" t="s">
        <v>858</v>
      </c>
      <c r="G38" s="99">
        <v>4</v>
      </c>
      <c r="H38" s="102" t="b">
        <v>0</v>
      </c>
      <c r="I38" s="105">
        <v>42736</v>
      </c>
      <c r="J38" s="102">
        <v>1</v>
      </c>
      <c r="K38" s="102">
        <v>1</v>
      </c>
      <c r="L38" s="102" t="b">
        <v>0</v>
      </c>
      <c r="M38" s="105">
        <v>42736</v>
      </c>
      <c r="N38" s="102">
        <v>1</v>
      </c>
      <c r="O38" s="102" t="s">
        <v>1157</v>
      </c>
      <c r="P38" s="102" t="s">
        <v>1158</v>
      </c>
      <c r="Q38" s="102" t="s">
        <v>1159</v>
      </c>
      <c r="R38" s="102" t="s">
        <v>1160</v>
      </c>
      <c r="S38" s="102">
        <v>0</v>
      </c>
      <c r="T38" s="99" t="s">
        <v>17</v>
      </c>
      <c r="U38" s="99" t="s">
        <v>701</v>
      </c>
    </row>
    <row r="39" ht="20.4" spans="1:21">
      <c r="A39" s="97">
        <v>38</v>
      </c>
      <c r="B39" s="98">
        <v>45536</v>
      </c>
      <c r="C39" s="99" t="s">
        <v>80</v>
      </c>
      <c r="D39" s="99">
        <v>2</v>
      </c>
      <c r="E39" s="100" t="s">
        <v>180</v>
      </c>
      <c r="F39" s="101" t="s">
        <v>848</v>
      </c>
      <c r="G39" s="99">
        <v>414</v>
      </c>
      <c r="H39" s="102" t="b">
        <v>0</v>
      </c>
      <c r="I39" s="105">
        <v>42736</v>
      </c>
      <c r="J39" s="102">
        <v>1</v>
      </c>
      <c r="K39" s="102">
        <v>1</v>
      </c>
      <c r="L39" s="102" t="b">
        <v>0</v>
      </c>
      <c r="M39" s="105">
        <v>42736</v>
      </c>
      <c r="N39" s="102">
        <v>1</v>
      </c>
      <c r="O39" s="102" t="s">
        <v>1157</v>
      </c>
      <c r="P39" s="102" t="s">
        <v>1158</v>
      </c>
      <c r="Q39" s="102" t="s">
        <v>1159</v>
      </c>
      <c r="R39" s="102" t="s">
        <v>1160</v>
      </c>
      <c r="S39" s="102">
        <v>0</v>
      </c>
      <c r="T39" s="103" t="s">
        <v>17</v>
      </c>
      <c r="U39" s="99" t="s">
        <v>701</v>
      </c>
    </row>
    <row r="40" ht="20.4" spans="1:21">
      <c r="A40" s="97">
        <v>39</v>
      </c>
      <c r="B40" s="98">
        <v>45536</v>
      </c>
      <c r="C40" s="99" t="s">
        <v>80</v>
      </c>
      <c r="D40" s="99">
        <v>2</v>
      </c>
      <c r="E40" s="100" t="s">
        <v>183</v>
      </c>
      <c r="F40" s="101" t="s">
        <v>859</v>
      </c>
      <c r="G40" s="99">
        <v>21</v>
      </c>
      <c r="H40" s="102" t="b">
        <v>0</v>
      </c>
      <c r="I40" s="105">
        <v>42736</v>
      </c>
      <c r="J40" s="102">
        <v>1</v>
      </c>
      <c r="K40" s="102">
        <v>1</v>
      </c>
      <c r="L40" s="102" t="b">
        <v>0</v>
      </c>
      <c r="M40" s="105">
        <v>42736</v>
      </c>
      <c r="N40" s="102">
        <v>1</v>
      </c>
      <c r="O40" s="102" t="s">
        <v>1157</v>
      </c>
      <c r="P40" s="102" t="s">
        <v>1158</v>
      </c>
      <c r="Q40" s="102" t="s">
        <v>1159</v>
      </c>
      <c r="R40" s="102" t="s">
        <v>1160</v>
      </c>
      <c r="S40" s="102">
        <v>0</v>
      </c>
      <c r="T40" s="99" t="s">
        <v>17</v>
      </c>
      <c r="U40" s="99" t="s">
        <v>701</v>
      </c>
    </row>
    <row r="41" ht="20.4" spans="1:21">
      <c r="A41" s="97">
        <v>40</v>
      </c>
      <c r="B41" s="98">
        <v>45536</v>
      </c>
      <c r="C41" s="99" t="s">
        <v>87</v>
      </c>
      <c r="D41" s="99">
        <v>3</v>
      </c>
      <c r="E41" s="100" t="s">
        <v>719</v>
      </c>
      <c r="F41" s="101" t="s">
        <v>846</v>
      </c>
      <c r="G41" s="99">
        <v>5</v>
      </c>
      <c r="H41" s="102" t="b">
        <v>0</v>
      </c>
      <c r="I41" s="105">
        <v>42736</v>
      </c>
      <c r="J41" s="102">
        <v>1</v>
      </c>
      <c r="K41" s="102">
        <v>1</v>
      </c>
      <c r="L41" s="102" t="b">
        <v>0</v>
      </c>
      <c r="M41" s="105">
        <v>42736</v>
      </c>
      <c r="N41" s="102">
        <v>1</v>
      </c>
      <c r="O41" s="102" t="s">
        <v>1157</v>
      </c>
      <c r="P41" s="102" t="s">
        <v>1158</v>
      </c>
      <c r="Q41" s="102" t="s">
        <v>1159</v>
      </c>
      <c r="R41" s="102" t="s">
        <v>1160</v>
      </c>
      <c r="S41" s="102">
        <v>0</v>
      </c>
      <c r="T41" s="99" t="s">
        <v>17</v>
      </c>
      <c r="U41" s="99" t="s">
        <v>700</v>
      </c>
    </row>
    <row r="42" ht="20.4" spans="1:21">
      <c r="A42" s="97">
        <v>41</v>
      </c>
      <c r="B42" s="98">
        <v>45536</v>
      </c>
      <c r="C42" s="99" t="s">
        <v>87</v>
      </c>
      <c r="D42" s="99">
        <v>3</v>
      </c>
      <c r="E42" s="100" t="s">
        <v>188</v>
      </c>
      <c r="F42" s="101" t="s">
        <v>860</v>
      </c>
      <c r="G42" s="99">
        <v>57</v>
      </c>
      <c r="H42" s="102" t="b">
        <v>0</v>
      </c>
      <c r="I42" s="105">
        <v>42736</v>
      </c>
      <c r="J42" s="102">
        <v>1</v>
      </c>
      <c r="K42" s="102">
        <v>1</v>
      </c>
      <c r="L42" s="102" t="b">
        <v>0</v>
      </c>
      <c r="M42" s="105">
        <v>42736</v>
      </c>
      <c r="N42" s="102">
        <v>1</v>
      </c>
      <c r="O42" s="102" t="s">
        <v>1157</v>
      </c>
      <c r="P42" s="102" t="s">
        <v>1158</v>
      </c>
      <c r="Q42" s="102" t="s">
        <v>1159</v>
      </c>
      <c r="R42" s="102" t="s">
        <v>1160</v>
      </c>
      <c r="S42" s="102">
        <v>0</v>
      </c>
      <c r="T42" s="99" t="s">
        <v>17</v>
      </c>
      <c r="U42" s="99" t="s">
        <v>701</v>
      </c>
    </row>
    <row r="43" ht="20.4" spans="1:21">
      <c r="A43" s="97">
        <v>42</v>
      </c>
      <c r="B43" s="98">
        <v>45536</v>
      </c>
      <c r="C43" s="99" t="s">
        <v>87</v>
      </c>
      <c r="D43" s="99">
        <v>3</v>
      </c>
      <c r="E43" s="100" t="s">
        <v>191</v>
      </c>
      <c r="F43" s="101" t="s">
        <v>861</v>
      </c>
      <c r="G43" s="99">
        <v>45</v>
      </c>
      <c r="H43" s="102" t="b">
        <v>0</v>
      </c>
      <c r="I43" s="105">
        <v>42736</v>
      </c>
      <c r="J43" s="102">
        <v>1</v>
      </c>
      <c r="K43" s="102">
        <v>1</v>
      </c>
      <c r="L43" s="102" t="b">
        <v>0</v>
      </c>
      <c r="M43" s="105">
        <v>42736</v>
      </c>
      <c r="N43" s="102">
        <v>1</v>
      </c>
      <c r="O43" s="102" t="s">
        <v>1157</v>
      </c>
      <c r="P43" s="102" t="s">
        <v>1158</v>
      </c>
      <c r="Q43" s="102" t="s">
        <v>1159</v>
      </c>
      <c r="R43" s="102" t="s">
        <v>1160</v>
      </c>
      <c r="S43" s="102">
        <v>0</v>
      </c>
      <c r="T43" s="99" t="s">
        <v>17</v>
      </c>
      <c r="U43" s="99" t="s">
        <v>701</v>
      </c>
    </row>
    <row r="44" ht="20.4" spans="1:21">
      <c r="A44" s="97">
        <v>43</v>
      </c>
      <c r="B44" s="98">
        <v>45536</v>
      </c>
      <c r="C44" s="99" t="s">
        <v>87</v>
      </c>
      <c r="D44" s="99">
        <v>3</v>
      </c>
      <c r="E44" s="100" t="s">
        <v>720</v>
      </c>
      <c r="F44" s="101" t="s">
        <v>862</v>
      </c>
      <c r="G44" s="99">
        <v>75</v>
      </c>
      <c r="H44" s="102" t="b">
        <v>0</v>
      </c>
      <c r="I44" s="105">
        <v>42736</v>
      </c>
      <c r="J44" s="102">
        <v>1</v>
      </c>
      <c r="K44" s="102">
        <v>1</v>
      </c>
      <c r="L44" s="102" t="b">
        <v>0</v>
      </c>
      <c r="M44" s="105">
        <v>42736</v>
      </c>
      <c r="N44" s="102">
        <v>1</v>
      </c>
      <c r="O44" s="102" t="s">
        <v>1157</v>
      </c>
      <c r="P44" s="102" t="s">
        <v>1158</v>
      </c>
      <c r="Q44" s="102" t="s">
        <v>1159</v>
      </c>
      <c r="R44" s="102" t="s">
        <v>1160</v>
      </c>
      <c r="S44" s="102">
        <v>0</v>
      </c>
      <c r="T44" s="99" t="s">
        <v>17</v>
      </c>
      <c r="U44" s="99" t="s">
        <v>701</v>
      </c>
    </row>
    <row r="45" ht="20.4" spans="1:21">
      <c r="A45" s="97">
        <v>44</v>
      </c>
      <c r="B45" s="98">
        <v>45536</v>
      </c>
      <c r="C45" s="99" t="s">
        <v>87</v>
      </c>
      <c r="D45" s="99">
        <v>3</v>
      </c>
      <c r="E45" s="100" t="s">
        <v>721</v>
      </c>
      <c r="F45" s="97" t="s">
        <v>829</v>
      </c>
      <c r="G45" s="99">
        <v>134</v>
      </c>
      <c r="H45" s="102" t="b">
        <v>0</v>
      </c>
      <c r="I45" s="105">
        <v>42736</v>
      </c>
      <c r="J45" s="102">
        <v>1</v>
      </c>
      <c r="K45" s="102">
        <v>1</v>
      </c>
      <c r="L45" s="102" t="b">
        <v>0</v>
      </c>
      <c r="M45" s="105">
        <v>42736</v>
      </c>
      <c r="N45" s="102">
        <v>1</v>
      </c>
      <c r="O45" s="102" t="s">
        <v>1157</v>
      </c>
      <c r="P45" s="102" t="s">
        <v>1158</v>
      </c>
      <c r="Q45" s="102" t="s">
        <v>1159</v>
      </c>
      <c r="R45" s="102" t="s">
        <v>1160</v>
      </c>
      <c r="S45" s="102">
        <v>0</v>
      </c>
      <c r="T45" s="99" t="s">
        <v>17</v>
      </c>
      <c r="U45" s="99" t="s">
        <v>701</v>
      </c>
    </row>
    <row r="46" ht="20.4" spans="1:21">
      <c r="A46" s="97">
        <v>45</v>
      </c>
      <c r="B46" s="98">
        <v>45536</v>
      </c>
      <c r="C46" s="99" t="s">
        <v>87</v>
      </c>
      <c r="D46" s="99">
        <v>3</v>
      </c>
      <c r="E46" s="100" t="s">
        <v>722</v>
      </c>
      <c r="F46" s="101" t="s">
        <v>849</v>
      </c>
      <c r="G46" s="99">
        <v>107</v>
      </c>
      <c r="H46" s="102" t="b">
        <v>0</v>
      </c>
      <c r="I46" s="105">
        <v>42736</v>
      </c>
      <c r="J46" s="102">
        <v>1</v>
      </c>
      <c r="K46" s="102">
        <v>1</v>
      </c>
      <c r="L46" s="102" t="b">
        <v>0</v>
      </c>
      <c r="M46" s="105">
        <v>42736</v>
      </c>
      <c r="N46" s="102">
        <v>1</v>
      </c>
      <c r="O46" s="102" t="s">
        <v>1157</v>
      </c>
      <c r="P46" s="102" t="s">
        <v>1158</v>
      </c>
      <c r="Q46" s="102" t="s">
        <v>1159</v>
      </c>
      <c r="R46" s="102" t="s">
        <v>1160</v>
      </c>
      <c r="S46" s="102">
        <v>0</v>
      </c>
      <c r="T46" s="99" t="s">
        <v>17</v>
      </c>
      <c r="U46" s="99" t="s">
        <v>700</v>
      </c>
    </row>
    <row r="47" ht="20.4" spans="1:21">
      <c r="A47" s="97">
        <v>46</v>
      </c>
      <c r="B47" s="98">
        <v>45536</v>
      </c>
      <c r="C47" s="99" t="s">
        <v>87</v>
      </c>
      <c r="D47" s="99">
        <v>3</v>
      </c>
      <c r="E47" s="100" t="s">
        <v>723</v>
      </c>
      <c r="F47" s="101" t="s">
        <v>863</v>
      </c>
      <c r="G47" s="99">
        <v>107</v>
      </c>
      <c r="H47" s="102" t="b">
        <v>0</v>
      </c>
      <c r="I47" s="105">
        <v>42736</v>
      </c>
      <c r="J47" s="102">
        <v>1</v>
      </c>
      <c r="K47" s="102">
        <v>1</v>
      </c>
      <c r="L47" s="102" t="b">
        <v>0</v>
      </c>
      <c r="M47" s="105">
        <v>42736</v>
      </c>
      <c r="N47" s="102">
        <v>1</v>
      </c>
      <c r="O47" s="102" t="s">
        <v>1157</v>
      </c>
      <c r="P47" s="102" t="s">
        <v>1158</v>
      </c>
      <c r="Q47" s="102" t="s">
        <v>1159</v>
      </c>
      <c r="R47" s="102" t="s">
        <v>1160</v>
      </c>
      <c r="S47" s="102">
        <v>0</v>
      </c>
      <c r="T47" s="99" t="s">
        <v>17</v>
      </c>
      <c r="U47" s="99" t="s">
        <v>701</v>
      </c>
    </row>
    <row r="48" ht="20.4" spans="1:21">
      <c r="A48" s="97">
        <v>47</v>
      </c>
      <c r="B48" s="98">
        <v>45536</v>
      </c>
      <c r="C48" s="99" t="s">
        <v>87</v>
      </c>
      <c r="D48" s="99">
        <v>3</v>
      </c>
      <c r="E48" s="100" t="s">
        <v>864</v>
      </c>
      <c r="F48" s="97" t="s">
        <v>865</v>
      </c>
      <c r="G48" s="99">
        <v>4</v>
      </c>
      <c r="H48" s="102" t="b">
        <v>0</v>
      </c>
      <c r="I48" s="105">
        <v>42736</v>
      </c>
      <c r="J48" s="102">
        <v>1</v>
      </c>
      <c r="K48" s="102">
        <v>1</v>
      </c>
      <c r="L48" s="102" t="b">
        <v>0</v>
      </c>
      <c r="M48" s="105">
        <v>42736</v>
      </c>
      <c r="N48" s="102">
        <v>1</v>
      </c>
      <c r="O48" s="102" t="s">
        <v>1157</v>
      </c>
      <c r="P48" s="102" t="s">
        <v>1158</v>
      </c>
      <c r="Q48" s="102" t="s">
        <v>1159</v>
      </c>
      <c r="R48" s="102" t="s">
        <v>1160</v>
      </c>
      <c r="S48" s="102">
        <v>0</v>
      </c>
      <c r="T48" s="99" t="s">
        <v>17</v>
      </c>
      <c r="U48" s="99" t="s">
        <v>701</v>
      </c>
    </row>
    <row r="49" ht="20.4" spans="1:21">
      <c r="A49" s="97">
        <v>48</v>
      </c>
      <c r="B49" s="98">
        <v>45537</v>
      </c>
      <c r="C49" s="99" t="s">
        <v>11</v>
      </c>
      <c r="D49" s="99">
        <v>2</v>
      </c>
      <c r="E49" s="100" t="s">
        <v>725</v>
      </c>
      <c r="F49" s="101" t="s">
        <v>866</v>
      </c>
      <c r="G49" s="99">
        <v>73</v>
      </c>
      <c r="H49" s="102" t="b">
        <v>0</v>
      </c>
      <c r="I49" s="105">
        <v>42736</v>
      </c>
      <c r="J49" s="102">
        <v>1</v>
      </c>
      <c r="K49" s="102">
        <v>1</v>
      </c>
      <c r="L49" s="102" t="b">
        <v>0</v>
      </c>
      <c r="M49" s="105">
        <v>42736</v>
      </c>
      <c r="N49" s="102">
        <v>1</v>
      </c>
      <c r="O49" s="102" t="s">
        <v>1157</v>
      </c>
      <c r="P49" s="102" t="s">
        <v>1158</v>
      </c>
      <c r="Q49" s="102" t="s">
        <v>1159</v>
      </c>
      <c r="R49" s="102" t="s">
        <v>1160</v>
      </c>
      <c r="S49" s="102">
        <v>0</v>
      </c>
      <c r="T49" s="99" t="s">
        <v>17</v>
      </c>
      <c r="U49" s="99" t="s">
        <v>701</v>
      </c>
    </row>
    <row r="50" ht="20.4" spans="1:21">
      <c r="A50" s="97">
        <v>49</v>
      </c>
      <c r="B50" s="98">
        <v>45537</v>
      </c>
      <c r="C50" s="99" t="s">
        <v>11</v>
      </c>
      <c r="D50" s="99">
        <v>2</v>
      </c>
      <c r="E50" s="100" t="s">
        <v>215</v>
      </c>
      <c r="F50" s="97" t="s">
        <v>844</v>
      </c>
      <c r="G50" s="99">
        <v>89</v>
      </c>
      <c r="H50" s="102" t="b">
        <v>0</v>
      </c>
      <c r="I50" s="105">
        <v>42736</v>
      </c>
      <c r="J50" s="102">
        <v>1</v>
      </c>
      <c r="K50" s="102">
        <v>1</v>
      </c>
      <c r="L50" s="102" t="b">
        <v>0</v>
      </c>
      <c r="M50" s="105">
        <v>42736</v>
      </c>
      <c r="N50" s="102">
        <v>1</v>
      </c>
      <c r="O50" s="102" t="s">
        <v>1157</v>
      </c>
      <c r="P50" s="102" t="s">
        <v>1158</v>
      </c>
      <c r="Q50" s="102" t="s">
        <v>1159</v>
      </c>
      <c r="R50" s="102" t="s">
        <v>1160</v>
      </c>
      <c r="S50" s="102">
        <v>0</v>
      </c>
      <c r="T50" s="99" t="s">
        <v>17</v>
      </c>
      <c r="U50" s="99" t="s">
        <v>701</v>
      </c>
    </row>
    <row r="51" ht="20.4" spans="1:21">
      <c r="A51" s="97">
        <v>50</v>
      </c>
      <c r="B51" s="98">
        <v>45537</v>
      </c>
      <c r="C51" s="99" t="s">
        <v>31</v>
      </c>
      <c r="D51" s="99">
        <v>3</v>
      </c>
      <c r="E51" s="100" t="s">
        <v>218</v>
      </c>
      <c r="F51" s="101" t="s">
        <v>867</v>
      </c>
      <c r="G51" s="99">
        <v>784</v>
      </c>
      <c r="H51" s="102" t="b">
        <v>0</v>
      </c>
      <c r="I51" s="105">
        <v>42736</v>
      </c>
      <c r="J51" s="102">
        <v>1</v>
      </c>
      <c r="K51" s="102">
        <v>1</v>
      </c>
      <c r="L51" s="102" t="b">
        <v>0</v>
      </c>
      <c r="M51" s="105">
        <v>42736</v>
      </c>
      <c r="N51" s="102">
        <v>1</v>
      </c>
      <c r="O51" s="102" t="s">
        <v>1157</v>
      </c>
      <c r="P51" s="102" t="s">
        <v>1158</v>
      </c>
      <c r="Q51" s="102" t="s">
        <v>1159</v>
      </c>
      <c r="R51" s="102" t="s">
        <v>1160</v>
      </c>
      <c r="S51" s="102">
        <v>0</v>
      </c>
      <c r="T51" s="99" t="s">
        <v>17</v>
      </c>
      <c r="U51" s="99" t="s">
        <v>701</v>
      </c>
    </row>
    <row r="52" ht="20.4" spans="1:21">
      <c r="A52" s="97">
        <v>51</v>
      </c>
      <c r="B52" s="98">
        <v>45537</v>
      </c>
      <c r="C52" s="99" t="s">
        <v>31</v>
      </c>
      <c r="D52" s="99">
        <v>3</v>
      </c>
      <c r="E52" s="100" t="s">
        <v>224</v>
      </c>
      <c r="F52" s="97" t="s">
        <v>867</v>
      </c>
      <c r="G52" s="99">
        <v>115</v>
      </c>
      <c r="H52" s="102" t="b">
        <v>0</v>
      </c>
      <c r="I52" s="105">
        <v>42736</v>
      </c>
      <c r="J52" s="102">
        <v>1</v>
      </c>
      <c r="K52" s="102">
        <v>1</v>
      </c>
      <c r="L52" s="102" t="b">
        <v>0</v>
      </c>
      <c r="M52" s="105">
        <v>42736</v>
      </c>
      <c r="N52" s="102">
        <v>1</v>
      </c>
      <c r="O52" s="102" t="s">
        <v>1157</v>
      </c>
      <c r="P52" s="102" t="s">
        <v>1158</v>
      </c>
      <c r="Q52" s="102" t="s">
        <v>1159</v>
      </c>
      <c r="R52" s="102" t="s">
        <v>1160</v>
      </c>
      <c r="S52" s="102">
        <v>0</v>
      </c>
      <c r="T52" s="99" t="s">
        <v>17</v>
      </c>
      <c r="U52" s="99" t="s">
        <v>701</v>
      </c>
    </row>
    <row r="53" ht="20.4" spans="1:21">
      <c r="A53" s="97">
        <v>52</v>
      </c>
      <c r="B53" s="98">
        <v>45537</v>
      </c>
      <c r="C53" s="99" t="s">
        <v>31</v>
      </c>
      <c r="D53" s="99">
        <v>3</v>
      </c>
      <c r="E53" s="100" t="s">
        <v>726</v>
      </c>
      <c r="F53" s="101" t="s">
        <v>227</v>
      </c>
      <c r="G53" s="99">
        <v>42</v>
      </c>
      <c r="H53" s="102" t="b">
        <v>0</v>
      </c>
      <c r="I53" s="105">
        <v>42736</v>
      </c>
      <c r="J53" s="102">
        <v>1</v>
      </c>
      <c r="K53" s="102">
        <v>1</v>
      </c>
      <c r="L53" s="102" t="b">
        <v>0</v>
      </c>
      <c r="M53" s="105">
        <v>42736</v>
      </c>
      <c r="N53" s="102">
        <v>1</v>
      </c>
      <c r="O53" s="102" t="s">
        <v>1157</v>
      </c>
      <c r="P53" s="102" t="s">
        <v>1158</v>
      </c>
      <c r="Q53" s="102" t="s">
        <v>1159</v>
      </c>
      <c r="R53" s="102" t="s">
        <v>1160</v>
      </c>
      <c r="S53" s="102">
        <v>0</v>
      </c>
      <c r="T53" s="99" t="s">
        <v>17</v>
      </c>
      <c r="U53" s="99" t="s">
        <v>700</v>
      </c>
    </row>
    <row r="54" ht="20.4" spans="1:21">
      <c r="A54" s="97">
        <v>53</v>
      </c>
      <c r="B54" s="98">
        <v>45537</v>
      </c>
      <c r="C54" s="99" t="s">
        <v>31</v>
      </c>
      <c r="D54" s="99">
        <v>3</v>
      </c>
      <c r="E54" s="100" t="s">
        <v>211</v>
      </c>
      <c r="F54" s="101" t="s">
        <v>868</v>
      </c>
      <c r="G54" s="99">
        <v>113</v>
      </c>
      <c r="H54" s="102" t="b">
        <v>0</v>
      </c>
      <c r="I54" s="105">
        <v>42736</v>
      </c>
      <c r="J54" s="102">
        <v>1</v>
      </c>
      <c r="K54" s="102">
        <v>1</v>
      </c>
      <c r="L54" s="102" t="b">
        <v>0</v>
      </c>
      <c r="M54" s="105">
        <v>42736</v>
      </c>
      <c r="N54" s="102">
        <v>1</v>
      </c>
      <c r="O54" s="102" t="s">
        <v>1157</v>
      </c>
      <c r="P54" s="102" t="s">
        <v>1158</v>
      </c>
      <c r="Q54" s="102" t="s">
        <v>1159</v>
      </c>
      <c r="R54" s="102" t="s">
        <v>1160</v>
      </c>
      <c r="S54" s="102">
        <v>0</v>
      </c>
      <c r="T54" s="99" t="s">
        <v>17</v>
      </c>
      <c r="U54" s="99" t="s">
        <v>701</v>
      </c>
    </row>
    <row r="55" ht="20.4" spans="1:21">
      <c r="A55" s="97">
        <v>54</v>
      </c>
      <c r="B55" s="98">
        <v>45537</v>
      </c>
      <c r="C55" s="99" t="s">
        <v>31</v>
      </c>
      <c r="D55" s="99">
        <v>3</v>
      </c>
      <c r="E55" s="100" t="s">
        <v>727</v>
      </c>
      <c r="F55" s="97" t="s">
        <v>869</v>
      </c>
      <c r="G55" s="99">
        <v>3</v>
      </c>
      <c r="H55" s="102" t="b">
        <v>0</v>
      </c>
      <c r="I55" s="105">
        <v>42736</v>
      </c>
      <c r="J55" s="102">
        <v>1</v>
      </c>
      <c r="K55" s="102">
        <v>1</v>
      </c>
      <c r="L55" s="102" t="b">
        <v>0</v>
      </c>
      <c r="M55" s="105">
        <v>42736</v>
      </c>
      <c r="N55" s="102">
        <v>1</v>
      </c>
      <c r="O55" s="102" t="s">
        <v>1157</v>
      </c>
      <c r="P55" s="102" t="s">
        <v>1158</v>
      </c>
      <c r="Q55" s="102" t="s">
        <v>1159</v>
      </c>
      <c r="R55" s="102" t="s">
        <v>1160</v>
      </c>
      <c r="S55" s="102">
        <v>0</v>
      </c>
      <c r="T55" s="99" t="s">
        <v>17</v>
      </c>
      <c r="U55" s="99" t="s">
        <v>700</v>
      </c>
    </row>
    <row r="56" ht="20.4" spans="1:21">
      <c r="A56" s="97">
        <v>55</v>
      </c>
      <c r="B56" s="98">
        <v>45537</v>
      </c>
      <c r="C56" s="99" t="s">
        <v>31</v>
      </c>
      <c r="D56" s="99">
        <v>3</v>
      </c>
      <c r="E56" s="100" t="s">
        <v>728</v>
      </c>
      <c r="F56" s="101" t="s">
        <v>870</v>
      </c>
      <c r="G56" s="99">
        <v>37</v>
      </c>
      <c r="H56" s="102" t="b">
        <v>0</v>
      </c>
      <c r="I56" s="105">
        <v>42736</v>
      </c>
      <c r="J56" s="102">
        <v>1</v>
      </c>
      <c r="K56" s="102">
        <v>1</v>
      </c>
      <c r="L56" s="102" t="b">
        <v>0</v>
      </c>
      <c r="M56" s="105">
        <v>42736</v>
      </c>
      <c r="N56" s="102">
        <v>1</v>
      </c>
      <c r="O56" s="102" t="s">
        <v>1157</v>
      </c>
      <c r="P56" s="102" t="s">
        <v>1158</v>
      </c>
      <c r="Q56" s="102" t="s">
        <v>1159</v>
      </c>
      <c r="R56" s="102" t="s">
        <v>1160</v>
      </c>
      <c r="S56" s="102">
        <v>0</v>
      </c>
      <c r="T56" s="99" t="s">
        <v>17</v>
      </c>
      <c r="U56" s="99" t="s">
        <v>701</v>
      </c>
    </row>
    <row r="57" ht="20.4" spans="1:21">
      <c r="A57" s="97">
        <v>56</v>
      </c>
      <c r="B57" s="98">
        <v>45537</v>
      </c>
      <c r="C57" s="99" t="s">
        <v>31</v>
      </c>
      <c r="D57" s="99">
        <v>3</v>
      </c>
      <c r="E57" s="100" t="s">
        <v>729</v>
      </c>
      <c r="F57" s="101" t="s">
        <v>871</v>
      </c>
      <c r="G57" s="99">
        <v>67</v>
      </c>
      <c r="H57" s="102" t="b">
        <v>0</v>
      </c>
      <c r="I57" s="105">
        <v>42736</v>
      </c>
      <c r="J57" s="102">
        <v>1</v>
      </c>
      <c r="K57" s="102">
        <v>1</v>
      </c>
      <c r="L57" s="102" t="b">
        <v>0</v>
      </c>
      <c r="M57" s="105">
        <v>42736</v>
      </c>
      <c r="N57" s="102">
        <v>1</v>
      </c>
      <c r="O57" s="102" t="s">
        <v>1157</v>
      </c>
      <c r="P57" s="102" t="s">
        <v>1158</v>
      </c>
      <c r="Q57" s="102" t="s">
        <v>1159</v>
      </c>
      <c r="R57" s="102" t="s">
        <v>1160</v>
      </c>
      <c r="S57" s="102">
        <v>0</v>
      </c>
      <c r="T57" s="99" t="s">
        <v>17</v>
      </c>
      <c r="U57" s="99" t="s">
        <v>701</v>
      </c>
    </row>
    <row r="58" ht="20.4" spans="1:21">
      <c r="A58" s="97">
        <v>57</v>
      </c>
      <c r="B58" s="98">
        <v>45537</v>
      </c>
      <c r="C58" s="99" t="s">
        <v>31</v>
      </c>
      <c r="D58" s="99">
        <v>3</v>
      </c>
      <c r="E58" s="100" t="s">
        <v>245</v>
      </c>
      <c r="F58" s="101" t="s">
        <v>872</v>
      </c>
      <c r="G58" s="99">
        <v>124</v>
      </c>
      <c r="H58" s="102" t="b">
        <v>0</v>
      </c>
      <c r="I58" s="105">
        <v>42736</v>
      </c>
      <c r="J58" s="102">
        <v>1</v>
      </c>
      <c r="K58" s="102">
        <v>1</v>
      </c>
      <c r="L58" s="102" t="b">
        <v>0</v>
      </c>
      <c r="M58" s="105">
        <v>42736</v>
      </c>
      <c r="N58" s="102">
        <v>1</v>
      </c>
      <c r="O58" s="102" t="s">
        <v>1157</v>
      </c>
      <c r="P58" s="102" t="s">
        <v>1158</v>
      </c>
      <c r="Q58" s="102" t="s">
        <v>1159</v>
      </c>
      <c r="R58" s="102" t="s">
        <v>1160</v>
      </c>
      <c r="S58" s="102">
        <v>0</v>
      </c>
      <c r="T58" s="99" t="s">
        <v>17</v>
      </c>
      <c r="U58" s="99" t="s">
        <v>701</v>
      </c>
    </row>
    <row r="59" ht="20.4" spans="1:21">
      <c r="A59" s="97">
        <v>58</v>
      </c>
      <c r="B59" s="98">
        <v>45537</v>
      </c>
      <c r="C59" s="99" t="s">
        <v>31</v>
      </c>
      <c r="D59" s="99">
        <v>3</v>
      </c>
      <c r="E59" s="100" t="s">
        <v>730</v>
      </c>
      <c r="F59" s="101" t="s">
        <v>873</v>
      </c>
      <c r="G59" s="99">
        <v>7</v>
      </c>
      <c r="H59" s="102" t="b">
        <v>0</v>
      </c>
      <c r="I59" s="105">
        <v>42736</v>
      </c>
      <c r="J59" s="102">
        <v>1</v>
      </c>
      <c r="K59" s="102">
        <v>1</v>
      </c>
      <c r="L59" s="102" t="b">
        <v>0</v>
      </c>
      <c r="M59" s="105">
        <v>42736</v>
      </c>
      <c r="N59" s="102">
        <v>1</v>
      </c>
      <c r="O59" s="102" t="s">
        <v>1157</v>
      </c>
      <c r="P59" s="102" t="s">
        <v>1158</v>
      </c>
      <c r="Q59" s="102" t="s">
        <v>1159</v>
      </c>
      <c r="R59" s="102" t="s">
        <v>1160</v>
      </c>
      <c r="S59" s="102">
        <v>0</v>
      </c>
      <c r="T59" s="99" t="s">
        <v>17</v>
      </c>
      <c r="U59" s="99" t="s">
        <v>731</v>
      </c>
    </row>
    <row r="60" ht="20.4" spans="1:21">
      <c r="A60" s="97">
        <v>59</v>
      </c>
      <c r="B60" s="98">
        <v>45537</v>
      </c>
      <c r="C60" s="99" t="s">
        <v>31</v>
      </c>
      <c r="D60" s="99">
        <v>3</v>
      </c>
      <c r="E60" s="100" t="s">
        <v>253</v>
      </c>
      <c r="F60" s="101" t="s">
        <v>874</v>
      </c>
      <c r="G60" s="99">
        <v>237</v>
      </c>
      <c r="H60" s="102" t="b">
        <v>0</v>
      </c>
      <c r="I60" s="105">
        <v>42736</v>
      </c>
      <c r="J60" s="102">
        <v>1</v>
      </c>
      <c r="K60" s="102">
        <v>1</v>
      </c>
      <c r="L60" s="102" t="b">
        <v>0</v>
      </c>
      <c r="M60" s="105">
        <v>42736</v>
      </c>
      <c r="N60" s="102">
        <v>1</v>
      </c>
      <c r="O60" s="102" t="s">
        <v>1157</v>
      </c>
      <c r="P60" s="102" t="s">
        <v>1158</v>
      </c>
      <c r="Q60" s="102" t="s">
        <v>1159</v>
      </c>
      <c r="R60" s="102" t="s">
        <v>1160</v>
      </c>
      <c r="S60" s="102">
        <v>0</v>
      </c>
      <c r="T60" s="99" t="s">
        <v>17</v>
      </c>
      <c r="U60" s="99" t="s">
        <v>701</v>
      </c>
    </row>
    <row r="61" ht="20.4" spans="1:21">
      <c r="A61" s="97">
        <v>60</v>
      </c>
      <c r="B61" s="98">
        <v>45537</v>
      </c>
      <c r="C61" s="99" t="s">
        <v>31</v>
      </c>
      <c r="D61" s="99">
        <v>3</v>
      </c>
      <c r="E61" s="100" t="s">
        <v>732</v>
      </c>
      <c r="F61" s="101" t="s">
        <v>875</v>
      </c>
      <c r="G61" s="99">
        <v>14</v>
      </c>
      <c r="H61" s="102" t="b">
        <v>0</v>
      </c>
      <c r="I61" s="105">
        <v>42736</v>
      </c>
      <c r="J61" s="102">
        <v>1</v>
      </c>
      <c r="K61" s="102">
        <v>1</v>
      </c>
      <c r="L61" s="102" t="b">
        <v>0</v>
      </c>
      <c r="M61" s="105">
        <v>42736</v>
      </c>
      <c r="N61" s="102">
        <v>1</v>
      </c>
      <c r="O61" s="102" t="s">
        <v>1157</v>
      </c>
      <c r="P61" s="102" t="s">
        <v>1158</v>
      </c>
      <c r="Q61" s="102" t="s">
        <v>1159</v>
      </c>
      <c r="R61" s="102" t="s">
        <v>1160</v>
      </c>
      <c r="S61" s="102">
        <v>0</v>
      </c>
      <c r="T61" s="99" t="s">
        <v>17</v>
      </c>
      <c r="U61" s="99" t="s">
        <v>700</v>
      </c>
    </row>
    <row r="62" ht="20.4" spans="1:21">
      <c r="A62" s="97">
        <v>61</v>
      </c>
      <c r="B62" s="98">
        <v>45537</v>
      </c>
      <c r="C62" s="99" t="s">
        <v>31</v>
      </c>
      <c r="D62" s="99">
        <v>3</v>
      </c>
      <c r="E62" s="100" t="s">
        <v>261</v>
      </c>
      <c r="F62" s="101" t="s">
        <v>872</v>
      </c>
      <c r="G62" s="99">
        <v>16</v>
      </c>
      <c r="H62" s="102" t="b">
        <v>0</v>
      </c>
      <c r="I62" s="105">
        <v>42736</v>
      </c>
      <c r="J62" s="102">
        <v>1</v>
      </c>
      <c r="K62" s="102">
        <v>1</v>
      </c>
      <c r="L62" s="102" t="b">
        <v>0</v>
      </c>
      <c r="M62" s="105">
        <v>42736</v>
      </c>
      <c r="N62" s="102">
        <v>1</v>
      </c>
      <c r="O62" s="102" t="s">
        <v>1157</v>
      </c>
      <c r="P62" s="102" t="s">
        <v>1158</v>
      </c>
      <c r="Q62" s="102" t="s">
        <v>1159</v>
      </c>
      <c r="R62" s="102" t="s">
        <v>1160</v>
      </c>
      <c r="S62" s="102">
        <v>0</v>
      </c>
      <c r="T62" s="99" t="s">
        <v>17</v>
      </c>
      <c r="U62" s="99" t="s">
        <v>701</v>
      </c>
    </row>
    <row r="63" ht="20.4" spans="1:21">
      <c r="A63" s="97">
        <v>62</v>
      </c>
      <c r="B63" s="98">
        <v>45537</v>
      </c>
      <c r="C63" s="99" t="s">
        <v>31</v>
      </c>
      <c r="D63" s="99">
        <v>3</v>
      </c>
      <c r="E63" s="104" t="s">
        <v>262</v>
      </c>
      <c r="F63" s="101" t="s">
        <v>876</v>
      </c>
      <c r="G63" s="99">
        <v>91</v>
      </c>
      <c r="H63" s="102" t="b">
        <v>0</v>
      </c>
      <c r="I63" s="105">
        <v>42736</v>
      </c>
      <c r="J63" s="102">
        <v>1</v>
      </c>
      <c r="K63" s="102">
        <v>1</v>
      </c>
      <c r="L63" s="102" t="b">
        <v>0</v>
      </c>
      <c r="M63" s="105">
        <v>42736</v>
      </c>
      <c r="N63" s="102">
        <v>1</v>
      </c>
      <c r="O63" s="102" t="s">
        <v>1157</v>
      </c>
      <c r="P63" s="102" t="s">
        <v>1158</v>
      </c>
      <c r="Q63" s="102" t="s">
        <v>1159</v>
      </c>
      <c r="R63" s="102" t="s">
        <v>1160</v>
      </c>
      <c r="S63" s="102">
        <v>0</v>
      </c>
      <c r="T63" s="99" t="s">
        <v>17</v>
      </c>
      <c r="U63" s="99" t="s">
        <v>701</v>
      </c>
    </row>
    <row r="64" ht="20.4" spans="1:21">
      <c r="A64" s="97">
        <v>63</v>
      </c>
      <c r="B64" s="98">
        <v>45537</v>
      </c>
      <c r="C64" s="99" t="s">
        <v>31</v>
      </c>
      <c r="D64" s="99">
        <v>3</v>
      </c>
      <c r="E64" s="100" t="s">
        <v>733</v>
      </c>
      <c r="F64" s="101" t="s">
        <v>863</v>
      </c>
      <c r="G64" s="99">
        <v>107</v>
      </c>
      <c r="H64" s="102" t="b">
        <v>0</v>
      </c>
      <c r="I64" s="105">
        <v>42736</v>
      </c>
      <c r="J64" s="102">
        <v>1</v>
      </c>
      <c r="K64" s="102">
        <v>1</v>
      </c>
      <c r="L64" s="102" t="b">
        <v>0</v>
      </c>
      <c r="M64" s="105">
        <v>42736</v>
      </c>
      <c r="N64" s="102">
        <v>1</v>
      </c>
      <c r="O64" s="102" t="s">
        <v>1157</v>
      </c>
      <c r="P64" s="102" t="s">
        <v>1158</v>
      </c>
      <c r="Q64" s="102" t="s">
        <v>1159</v>
      </c>
      <c r="R64" s="102" t="s">
        <v>1160</v>
      </c>
      <c r="S64" s="102">
        <v>0</v>
      </c>
      <c r="T64" s="99" t="s">
        <v>17</v>
      </c>
      <c r="U64" s="99" t="s">
        <v>701</v>
      </c>
    </row>
    <row r="65" ht="20.4" spans="1:21">
      <c r="A65" s="97">
        <v>64</v>
      </c>
      <c r="B65" s="98">
        <v>45537</v>
      </c>
      <c r="C65" s="99" t="s">
        <v>31</v>
      </c>
      <c r="D65" s="99">
        <v>3</v>
      </c>
      <c r="E65" s="100" t="s">
        <v>734</v>
      </c>
      <c r="F65" s="101" t="s">
        <v>877</v>
      </c>
      <c r="G65" s="99">
        <v>55</v>
      </c>
      <c r="H65" s="102" t="b">
        <v>0</v>
      </c>
      <c r="I65" s="105">
        <v>42736</v>
      </c>
      <c r="J65" s="102">
        <v>1</v>
      </c>
      <c r="K65" s="102">
        <v>1</v>
      </c>
      <c r="L65" s="102" t="b">
        <v>0</v>
      </c>
      <c r="M65" s="105">
        <v>42736</v>
      </c>
      <c r="N65" s="102">
        <v>1</v>
      </c>
      <c r="O65" s="102" t="s">
        <v>1157</v>
      </c>
      <c r="P65" s="102" t="s">
        <v>1158</v>
      </c>
      <c r="Q65" s="102" t="s">
        <v>1159</v>
      </c>
      <c r="R65" s="102" t="s">
        <v>1160</v>
      </c>
      <c r="S65" s="102">
        <v>0</v>
      </c>
      <c r="T65" s="99" t="s">
        <v>17</v>
      </c>
      <c r="U65" s="99" t="s">
        <v>701</v>
      </c>
    </row>
    <row r="66" ht="20.4" spans="1:21">
      <c r="A66" s="97">
        <v>65</v>
      </c>
      <c r="B66" s="98">
        <v>45537</v>
      </c>
      <c r="C66" s="99" t="s">
        <v>87</v>
      </c>
      <c r="D66" s="99">
        <v>3</v>
      </c>
      <c r="E66" s="100" t="s">
        <v>273</v>
      </c>
      <c r="F66" s="101" t="s">
        <v>878</v>
      </c>
      <c r="G66" s="99">
        <v>143</v>
      </c>
      <c r="H66" s="102" t="b">
        <v>0</v>
      </c>
      <c r="I66" s="105">
        <v>42736</v>
      </c>
      <c r="J66" s="102">
        <v>1</v>
      </c>
      <c r="K66" s="102">
        <v>1</v>
      </c>
      <c r="L66" s="102" t="b">
        <v>0</v>
      </c>
      <c r="M66" s="105">
        <v>42736</v>
      </c>
      <c r="N66" s="102">
        <v>1</v>
      </c>
      <c r="O66" s="102" t="s">
        <v>1157</v>
      </c>
      <c r="P66" s="102" t="s">
        <v>1158</v>
      </c>
      <c r="Q66" s="102" t="s">
        <v>1159</v>
      </c>
      <c r="R66" s="102" t="s">
        <v>1160</v>
      </c>
      <c r="S66" s="102">
        <v>0</v>
      </c>
      <c r="T66" s="99" t="s">
        <v>17</v>
      </c>
      <c r="U66" s="99" t="s">
        <v>701</v>
      </c>
    </row>
    <row r="67" ht="20.4" spans="1:21">
      <c r="A67" s="97">
        <v>66</v>
      </c>
      <c r="B67" s="98">
        <v>45537</v>
      </c>
      <c r="C67" s="99" t="s">
        <v>87</v>
      </c>
      <c r="D67" s="99">
        <v>3</v>
      </c>
      <c r="E67" s="100" t="s">
        <v>735</v>
      </c>
      <c r="F67" s="97" t="s">
        <v>844</v>
      </c>
      <c r="G67" s="99">
        <v>138</v>
      </c>
      <c r="H67" s="102" t="b">
        <v>0</v>
      </c>
      <c r="I67" s="105">
        <v>42736</v>
      </c>
      <c r="J67" s="102">
        <v>1</v>
      </c>
      <c r="K67" s="102">
        <v>1</v>
      </c>
      <c r="L67" s="102" t="b">
        <v>0</v>
      </c>
      <c r="M67" s="105">
        <v>42736</v>
      </c>
      <c r="N67" s="102">
        <v>1</v>
      </c>
      <c r="O67" s="102" t="s">
        <v>1157</v>
      </c>
      <c r="P67" s="102" t="s">
        <v>1158</v>
      </c>
      <c r="Q67" s="102" t="s">
        <v>1159</v>
      </c>
      <c r="R67" s="102" t="s">
        <v>1160</v>
      </c>
      <c r="S67" s="102">
        <v>0</v>
      </c>
      <c r="T67" s="99" t="s">
        <v>17</v>
      </c>
      <c r="U67" s="99" t="s">
        <v>700</v>
      </c>
    </row>
    <row r="68" ht="20.4" spans="1:21">
      <c r="A68" s="97">
        <v>67</v>
      </c>
      <c r="B68" s="98">
        <v>45537</v>
      </c>
      <c r="C68" s="99" t="s">
        <v>87</v>
      </c>
      <c r="D68" s="99">
        <v>3</v>
      </c>
      <c r="E68" s="100" t="s">
        <v>736</v>
      </c>
      <c r="F68" s="97" t="s">
        <v>838</v>
      </c>
      <c r="G68" s="99">
        <v>109</v>
      </c>
      <c r="H68" s="102" t="b">
        <v>0</v>
      </c>
      <c r="I68" s="105">
        <v>42736</v>
      </c>
      <c r="J68" s="102">
        <v>1</v>
      </c>
      <c r="K68" s="102">
        <v>1</v>
      </c>
      <c r="L68" s="102" t="b">
        <v>0</v>
      </c>
      <c r="M68" s="105">
        <v>42736</v>
      </c>
      <c r="N68" s="102">
        <v>1</v>
      </c>
      <c r="O68" s="102" t="s">
        <v>1157</v>
      </c>
      <c r="P68" s="102" t="s">
        <v>1158</v>
      </c>
      <c r="Q68" s="102" t="s">
        <v>1159</v>
      </c>
      <c r="R68" s="102" t="s">
        <v>1160</v>
      </c>
      <c r="S68" s="102">
        <v>0</v>
      </c>
      <c r="T68" s="99" t="s">
        <v>17</v>
      </c>
      <c r="U68" s="99" t="s">
        <v>731</v>
      </c>
    </row>
    <row r="69" ht="20.4" spans="1:21">
      <c r="A69" s="97">
        <v>68</v>
      </c>
      <c r="B69" s="98">
        <v>45537</v>
      </c>
      <c r="C69" s="99" t="s">
        <v>87</v>
      </c>
      <c r="D69" s="99">
        <v>3</v>
      </c>
      <c r="E69" s="100" t="s">
        <v>737</v>
      </c>
      <c r="F69" s="97" t="s">
        <v>850</v>
      </c>
      <c r="G69" s="99">
        <v>17</v>
      </c>
      <c r="H69" s="102" t="b">
        <v>0</v>
      </c>
      <c r="I69" s="105">
        <v>42736</v>
      </c>
      <c r="J69" s="102">
        <v>1</v>
      </c>
      <c r="K69" s="102">
        <v>1</v>
      </c>
      <c r="L69" s="102" t="b">
        <v>0</v>
      </c>
      <c r="M69" s="105">
        <v>42736</v>
      </c>
      <c r="N69" s="102">
        <v>1</v>
      </c>
      <c r="O69" s="102" t="s">
        <v>1157</v>
      </c>
      <c r="P69" s="102" t="s">
        <v>1158</v>
      </c>
      <c r="Q69" s="102" t="s">
        <v>1159</v>
      </c>
      <c r="R69" s="102" t="s">
        <v>1160</v>
      </c>
      <c r="S69" s="102">
        <v>0</v>
      </c>
      <c r="T69" s="99" t="s">
        <v>17</v>
      </c>
      <c r="U69" s="99" t="s">
        <v>700</v>
      </c>
    </row>
    <row r="70" ht="20.4" spans="1:21">
      <c r="A70" s="97">
        <v>69</v>
      </c>
      <c r="B70" s="98">
        <v>45537</v>
      </c>
      <c r="C70" s="99" t="s">
        <v>87</v>
      </c>
      <c r="D70" s="99">
        <v>3</v>
      </c>
      <c r="E70" s="100" t="s">
        <v>283</v>
      </c>
      <c r="F70" s="97" t="s">
        <v>879</v>
      </c>
      <c r="G70" s="99">
        <v>44</v>
      </c>
      <c r="H70" s="102" t="b">
        <v>0</v>
      </c>
      <c r="I70" s="105">
        <v>42736</v>
      </c>
      <c r="J70" s="102">
        <v>1</v>
      </c>
      <c r="K70" s="102">
        <v>1</v>
      </c>
      <c r="L70" s="102" t="b">
        <v>0</v>
      </c>
      <c r="M70" s="105">
        <v>42736</v>
      </c>
      <c r="N70" s="102">
        <v>1</v>
      </c>
      <c r="O70" s="102" t="s">
        <v>1157</v>
      </c>
      <c r="P70" s="102" t="s">
        <v>1158</v>
      </c>
      <c r="Q70" s="102" t="s">
        <v>1159</v>
      </c>
      <c r="R70" s="102" t="s">
        <v>1160</v>
      </c>
      <c r="S70" s="102">
        <v>0</v>
      </c>
      <c r="T70" s="99" t="s">
        <v>17</v>
      </c>
      <c r="U70" s="99" t="s">
        <v>701</v>
      </c>
    </row>
    <row r="71" ht="20.4" spans="1:21">
      <c r="A71" s="97">
        <v>70</v>
      </c>
      <c r="B71" s="98">
        <v>45537</v>
      </c>
      <c r="C71" s="99" t="s">
        <v>87</v>
      </c>
      <c r="D71" s="99">
        <v>3</v>
      </c>
      <c r="E71" s="100" t="s">
        <v>286</v>
      </c>
      <c r="F71" s="97" t="s">
        <v>833</v>
      </c>
      <c r="G71" s="99">
        <v>784</v>
      </c>
      <c r="H71" s="102" t="b">
        <v>0</v>
      </c>
      <c r="I71" s="105">
        <v>42736</v>
      </c>
      <c r="J71" s="102">
        <v>1</v>
      </c>
      <c r="K71" s="102">
        <v>1</v>
      </c>
      <c r="L71" s="102" t="b">
        <v>0</v>
      </c>
      <c r="M71" s="105">
        <v>42736</v>
      </c>
      <c r="N71" s="102">
        <v>1</v>
      </c>
      <c r="O71" s="102" t="s">
        <v>1157</v>
      </c>
      <c r="P71" s="102" t="s">
        <v>1158</v>
      </c>
      <c r="Q71" s="102" t="s">
        <v>1159</v>
      </c>
      <c r="R71" s="102" t="s">
        <v>1160</v>
      </c>
      <c r="S71" s="102">
        <v>0</v>
      </c>
      <c r="T71" s="99" t="s">
        <v>17</v>
      </c>
      <c r="U71" s="99" t="s">
        <v>701</v>
      </c>
    </row>
    <row r="72" ht="20.4" spans="1:21">
      <c r="A72" s="97">
        <v>71</v>
      </c>
      <c r="B72" s="98">
        <v>45537</v>
      </c>
      <c r="C72" s="99" t="s">
        <v>87</v>
      </c>
      <c r="D72" s="99">
        <v>3</v>
      </c>
      <c r="E72" s="100" t="s">
        <v>738</v>
      </c>
      <c r="F72" s="97" t="s">
        <v>880</v>
      </c>
      <c r="G72" s="99">
        <v>92</v>
      </c>
      <c r="H72" s="102" t="b">
        <v>0</v>
      </c>
      <c r="I72" s="105">
        <v>42736</v>
      </c>
      <c r="J72" s="102">
        <v>1</v>
      </c>
      <c r="K72" s="102">
        <v>1</v>
      </c>
      <c r="L72" s="102" t="b">
        <v>0</v>
      </c>
      <c r="M72" s="105">
        <v>42736</v>
      </c>
      <c r="N72" s="102">
        <v>1</v>
      </c>
      <c r="O72" s="102" t="s">
        <v>1157</v>
      </c>
      <c r="P72" s="102" t="s">
        <v>1158</v>
      </c>
      <c r="Q72" s="102" t="s">
        <v>1159</v>
      </c>
      <c r="R72" s="102" t="s">
        <v>1160</v>
      </c>
      <c r="S72" s="102">
        <v>0</v>
      </c>
      <c r="T72" s="99" t="s">
        <v>17</v>
      </c>
      <c r="U72" s="99" t="s">
        <v>701</v>
      </c>
    </row>
    <row r="73" ht="20.4" spans="1:21">
      <c r="A73" s="97">
        <v>72</v>
      </c>
      <c r="B73" s="98">
        <v>45537</v>
      </c>
      <c r="C73" s="99" t="s">
        <v>87</v>
      </c>
      <c r="D73" s="99">
        <v>3</v>
      </c>
      <c r="E73" s="100" t="s">
        <v>211</v>
      </c>
      <c r="F73" s="101" t="s">
        <v>866</v>
      </c>
      <c r="G73" s="99">
        <v>73</v>
      </c>
      <c r="H73" s="102" t="b">
        <v>0</v>
      </c>
      <c r="I73" s="105">
        <v>42736</v>
      </c>
      <c r="J73" s="102">
        <v>1</v>
      </c>
      <c r="K73" s="102">
        <v>1</v>
      </c>
      <c r="L73" s="102" t="b">
        <v>0</v>
      </c>
      <c r="M73" s="105">
        <v>42736</v>
      </c>
      <c r="N73" s="102">
        <v>1</v>
      </c>
      <c r="O73" s="102" t="s">
        <v>1157</v>
      </c>
      <c r="P73" s="102" t="s">
        <v>1158</v>
      </c>
      <c r="Q73" s="102" t="s">
        <v>1159</v>
      </c>
      <c r="R73" s="102" t="s">
        <v>1160</v>
      </c>
      <c r="S73" s="102">
        <v>0</v>
      </c>
      <c r="T73" s="99" t="s">
        <v>17</v>
      </c>
      <c r="U73" s="99" t="s">
        <v>701</v>
      </c>
    </row>
    <row r="74" ht="20.4" spans="1:21">
      <c r="A74" s="97">
        <v>73</v>
      </c>
      <c r="B74" s="98">
        <v>45537</v>
      </c>
      <c r="C74" s="99" t="s">
        <v>87</v>
      </c>
      <c r="D74" s="99">
        <v>3</v>
      </c>
      <c r="E74" s="100" t="s">
        <v>739</v>
      </c>
      <c r="F74" s="101" t="s">
        <v>870</v>
      </c>
      <c r="G74" s="99">
        <v>37</v>
      </c>
      <c r="H74" s="102" t="b">
        <v>0</v>
      </c>
      <c r="I74" s="105">
        <v>42736</v>
      </c>
      <c r="J74" s="102">
        <v>1</v>
      </c>
      <c r="K74" s="102">
        <v>1</v>
      </c>
      <c r="L74" s="102" t="b">
        <v>0</v>
      </c>
      <c r="M74" s="105">
        <v>42736</v>
      </c>
      <c r="N74" s="102">
        <v>1</v>
      </c>
      <c r="O74" s="102" t="s">
        <v>1157</v>
      </c>
      <c r="P74" s="102" t="s">
        <v>1158</v>
      </c>
      <c r="Q74" s="102" t="s">
        <v>1159</v>
      </c>
      <c r="R74" s="102" t="s">
        <v>1160</v>
      </c>
      <c r="S74" s="102">
        <v>0</v>
      </c>
      <c r="T74" s="99" t="s">
        <v>711</v>
      </c>
      <c r="U74" s="99" t="s">
        <v>701</v>
      </c>
    </row>
    <row r="75" ht="20.4" spans="1:21">
      <c r="A75" s="97">
        <v>74</v>
      </c>
      <c r="B75" s="98">
        <v>45537</v>
      </c>
      <c r="C75" s="99" t="s">
        <v>87</v>
      </c>
      <c r="D75" s="99">
        <v>3</v>
      </c>
      <c r="E75" s="100" t="s">
        <v>740</v>
      </c>
      <c r="F75" s="101" t="s">
        <v>881</v>
      </c>
      <c r="G75" s="99">
        <v>24</v>
      </c>
      <c r="H75" s="102" t="b">
        <v>0</v>
      </c>
      <c r="I75" s="105">
        <v>42736</v>
      </c>
      <c r="J75" s="102">
        <v>1</v>
      </c>
      <c r="K75" s="102">
        <v>1</v>
      </c>
      <c r="L75" s="102" t="b">
        <v>0</v>
      </c>
      <c r="M75" s="105">
        <v>42736</v>
      </c>
      <c r="N75" s="102">
        <v>1</v>
      </c>
      <c r="O75" s="102" t="s">
        <v>1157</v>
      </c>
      <c r="P75" s="102" t="s">
        <v>1158</v>
      </c>
      <c r="Q75" s="102" t="s">
        <v>1159</v>
      </c>
      <c r="R75" s="102" t="s">
        <v>1160</v>
      </c>
      <c r="S75" s="102">
        <v>0</v>
      </c>
      <c r="T75" s="99" t="s">
        <v>711</v>
      </c>
      <c r="U75" s="99" t="s">
        <v>701</v>
      </c>
    </row>
    <row r="76" ht="20.4" spans="1:21">
      <c r="A76" s="97">
        <v>75</v>
      </c>
      <c r="B76" s="98">
        <v>45537</v>
      </c>
      <c r="C76" s="99" t="s">
        <v>87</v>
      </c>
      <c r="D76" s="99">
        <v>3</v>
      </c>
      <c r="E76" s="100" t="s">
        <v>304</v>
      </c>
      <c r="F76" s="101" t="s">
        <v>876</v>
      </c>
      <c r="G76" s="99">
        <v>91</v>
      </c>
      <c r="H76" s="102" t="b">
        <v>0</v>
      </c>
      <c r="I76" s="105">
        <v>42736</v>
      </c>
      <c r="J76" s="102">
        <v>1</v>
      </c>
      <c r="K76" s="102">
        <v>1</v>
      </c>
      <c r="L76" s="102" t="b">
        <v>0</v>
      </c>
      <c r="M76" s="105">
        <v>42736</v>
      </c>
      <c r="N76" s="102">
        <v>1</v>
      </c>
      <c r="O76" s="102" t="s">
        <v>1157</v>
      </c>
      <c r="P76" s="102" t="s">
        <v>1158</v>
      </c>
      <c r="Q76" s="102" t="s">
        <v>1159</v>
      </c>
      <c r="R76" s="102" t="s">
        <v>1160</v>
      </c>
      <c r="S76" s="102">
        <v>0</v>
      </c>
      <c r="T76" s="99" t="s">
        <v>17</v>
      </c>
      <c r="U76" s="99" t="s">
        <v>701</v>
      </c>
    </row>
    <row r="77" ht="20.4" spans="1:21">
      <c r="A77" s="97">
        <v>76</v>
      </c>
      <c r="B77" s="98">
        <v>45537</v>
      </c>
      <c r="C77" s="99" t="s">
        <v>87</v>
      </c>
      <c r="D77" s="99">
        <v>3</v>
      </c>
      <c r="E77" s="100" t="s">
        <v>741</v>
      </c>
      <c r="F77" s="101" t="s">
        <v>882</v>
      </c>
      <c r="G77" s="99">
        <v>7</v>
      </c>
      <c r="H77" s="102" t="b">
        <v>0</v>
      </c>
      <c r="I77" s="105">
        <v>42736</v>
      </c>
      <c r="J77" s="102">
        <v>1</v>
      </c>
      <c r="K77" s="102">
        <v>1</v>
      </c>
      <c r="L77" s="102" t="b">
        <v>0</v>
      </c>
      <c r="M77" s="105">
        <v>42736</v>
      </c>
      <c r="N77" s="102">
        <v>1</v>
      </c>
      <c r="O77" s="102" t="s">
        <v>1157</v>
      </c>
      <c r="P77" s="102" t="s">
        <v>1158</v>
      </c>
      <c r="Q77" s="102" t="s">
        <v>1159</v>
      </c>
      <c r="R77" s="102" t="s">
        <v>1160</v>
      </c>
      <c r="S77" s="102">
        <v>0</v>
      </c>
      <c r="T77" s="99" t="s">
        <v>17</v>
      </c>
      <c r="U77" s="99" t="s">
        <v>700</v>
      </c>
    </row>
    <row r="78" ht="20.4" spans="1:21">
      <c r="A78" s="97">
        <v>77</v>
      </c>
      <c r="B78" s="98">
        <v>45537</v>
      </c>
      <c r="C78" s="99" t="s">
        <v>87</v>
      </c>
      <c r="D78" s="99">
        <v>3</v>
      </c>
      <c r="E78" s="100" t="s">
        <v>269</v>
      </c>
      <c r="F78" s="101" t="s">
        <v>877</v>
      </c>
      <c r="G78" s="99">
        <v>55</v>
      </c>
      <c r="H78" s="102" t="b">
        <v>0</v>
      </c>
      <c r="I78" s="105">
        <v>42736</v>
      </c>
      <c r="J78" s="102">
        <v>1</v>
      </c>
      <c r="K78" s="102">
        <v>1</v>
      </c>
      <c r="L78" s="102" t="b">
        <v>0</v>
      </c>
      <c r="M78" s="105">
        <v>42736</v>
      </c>
      <c r="N78" s="102">
        <v>1</v>
      </c>
      <c r="O78" s="102" t="s">
        <v>1157</v>
      </c>
      <c r="P78" s="102" t="s">
        <v>1158</v>
      </c>
      <c r="Q78" s="102" t="s">
        <v>1159</v>
      </c>
      <c r="R78" s="102" t="s">
        <v>1160</v>
      </c>
      <c r="S78" s="102">
        <v>0</v>
      </c>
      <c r="T78" s="99" t="s">
        <v>17</v>
      </c>
      <c r="U78" s="99" t="s">
        <v>701</v>
      </c>
    </row>
    <row r="79" ht="20.4" spans="1:21">
      <c r="A79" s="97">
        <v>78</v>
      </c>
      <c r="B79" s="98">
        <v>45537</v>
      </c>
      <c r="C79" s="99" t="s">
        <v>312</v>
      </c>
      <c r="D79" s="99">
        <v>4</v>
      </c>
      <c r="E79" s="100" t="s">
        <v>742</v>
      </c>
      <c r="F79" s="101" t="s">
        <v>874</v>
      </c>
      <c r="G79" s="99">
        <v>230</v>
      </c>
      <c r="H79" s="102" t="b">
        <v>0</v>
      </c>
      <c r="I79" s="105">
        <v>42736</v>
      </c>
      <c r="J79" s="102">
        <v>1</v>
      </c>
      <c r="K79" s="102">
        <v>1</v>
      </c>
      <c r="L79" s="102" t="b">
        <v>0</v>
      </c>
      <c r="M79" s="105">
        <v>42736</v>
      </c>
      <c r="N79" s="102">
        <v>1</v>
      </c>
      <c r="O79" s="102" t="s">
        <v>1157</v>
      </c>
      <c r="P79" s="102" t="s">
        <v>1158</v>
      </c>
      <c r="Q79" s="102" t="s">
        <v>1159</v>
      </c>
      <c r="R79" s="102" t="s">
        <v>1160</v>
      </c>
      <c r="S79" s="102">
        <v>0</v>
      </c>
      <c r="T79" s="99" t="s">
        <v>17</v>
      </c>
      <c r="U79" s="99" t="s">
        <v>701</v>
      </c>
    </row>
    <row r="80" ht="40.8" spans="1:21">
      <c r="A80" s="97">
        <v>79</v>
      </c>
      <c r="B80" s="98">
        <v>45538</v>
      </c>
      <c r="C80" s="99" t="s">
        <v>11</v>
      </c>
      <c r="D80" s="99">
        <v>2</v>
      </c>
      <c r="E80" s="100" t="s">
        <v>321</v>
      </c>
      <c r="F80" s="101" t="s">
        <v>841</v>
      </c>
      <c r="G80" s="99">
        <v>55</v>
      </c>
      <c r="H80" s="102" t="b">
        <v>0</v>
      </c>
      <c r="I80" s="105">
        <v>42736</v>
      </c>
      <c r="J80" s="102">
        <v>1</v>
      </c>
      <c r="K80" s="102">
        <v>1</v>
      </c>
      <c r="L80" s="102" t="b">
        <v>0</v>
      </c>
      <c r="M80" s="105">
        <v>42736</v>
      </c>
      <c r="N80" s="102">
        <v>1</v>
      </c>
      <c r="O80" s="102" t="s">
        <v>1157</v>
      </c>
      <c r="P80" s="102" t="s">
        <v>1158</v>
      </c>
      <c r="Q80" s="102" t="s">
        <v>1159</v>
      </c>
      <c r="R80" s="102" t="s">
        <v>1160</v>
      </c>
      <c r="S80" s="102">
        <v>0</v>
      </c>
      <c r="T80" s="99" t="s">
        <v>17</v>
      </c>
      <c r="U80" s="99" t="s">
        <v>701</v>
      </c>
    </row>
    <row r="81" ht="20.4" spans="1:21">
      <c r="A81" s="97">
        <v>80</v>
      </c>
      <c r="B81" s="98">
        <v>45538</v>
      </c>
      <c r="C81" s="99" t="s">
        <v>11</v>
      </c>
      <c r="D81" s="99">
        <v>2</v>
      </c>
      <c r="E81" s="100" t="s">
        <v>743</v>
      </c>
      <c r="F81" s="97" t="s">
        <v>883</v>
      </c>
      <c r="G81" s="99">
        <v>8</v>
      </c>
      <c r="H81" s="102" t="b">
        <v>0</v>
      </c>
      <c r="I81" s="105">
        <v>42736</v>
      </c>
      <c r="J81" s="102">
        <v>1</v>
      </c>
      <c r="K81" s="102">
        <v>1</v>
      </c>
      <c r="L81" s="102" t="b">
        <v>0</v>
      </c>
      <c r="M81" s="105">
        <v>42736</v>
      </c>
      <c r="N81" s="102">
        <v>1</v>
      </c>
      <c r="O81" s="102" t="s">
        <v>1157</v>
      </c>
      <c r="P81" s="102" t="s">
        <v>1158</v>
      </c>
      <c r="Q81" s="102" t="s">
        <v>1159</v>
      </c>
      <c r="R81" s="102" t="s">
        <v>1160</v>
      </c>
      <c r="S81" s="102">
        <v>0</v>
      </c>
      <c r="T81" s="99" t="s">
        <v>17</v>
      </c>
      <c r="U81" s="99" t="s">
        <v>731</v>
      </c>
    </row>
    <row r="82" ht="20.4" spans="1:21">
      <c r="A82" s="97">
        <v>81</v>
      </c>
      <c r="B82" s="98">
        <v>45538</v>
      </c>
      <c r="C82" s="99" t="s">
        <v>11</v>
      </c>
      <c r="D82" s="99">
        <v>2</v>
      </c>
      <c r="E82" s="100" t="s">
        <v>744</v>
      </c>
      <c r="F82" s="97" t="s">
        <v>839</v>
      </c>
      <c r="G82" s="99">
        <v>9</v>
      </c>
      <c r="H82" s="102" t="b">
        <v>0</v>
      </c>
      <c r="I82" s="105">
        <v>42736</v>
      </c>
      <c r="J82" s="102">
        <v>1</v>
      </c>
      <c r="K82" s="102">
        <v>1</v>
      </c>
      <c r="L82" s="102" t="b">
        <v>0</v>
      </c>
      <c r="M82" s="105">
        <v>42736</v>
      </c>
      <c r="N82" s="102">
        <v>1</v>
      </c>
      <c r="O82" s="102" t="s">
        <v>1157</v>
      </c>
      <c r="P82" s="102" t="s">
        <v>1158</v>
      </c>
      <c r="Q82" s="102" t="s">
        <v>1159</v>
      </c>
      <c r="R82" s="102" t="s">
        <v>1160</v>
      </c>
      <c r="S82" s="102">
        <v>0</v>
      </c>
      <c r="T82" s="99" t="s">
        <v>17</v>
      </c>
      <c r="U82" s="99" t="s">
        <v>700</v>
      </c>
    </row>
    <row r="83" ht="20.4" spans="1:21">
      <c r="A83" s="97">
        <v>82</v>
      </c>
      <c r="B83" s="98">
        <v>45538</v>
      </c>
      <c r="C83" s="99" t="s">
        <v>31</v>
      </c>
      <c r="D83" s="99">
        <v>3</v>
      </c>
      <c r="E83" s="100" t="s">
        <v>745</v>
      </c>
      <c r="F83" s="97" t="s">
        <v>884</v>
      </c>
      <c r="G83" s="99">
        <v>19</v>
      </c>
      <c r="H83" s="102" t="b">
        <v>0</v>
      </c>
      <c r="I83" s="105">
        <v>42736</v>
      </c>
      <c r="J83" s="102">
        <v>1</v>
      </c>
      <c r="K83" s="102">
        <v>1</v>
      </c>
      <c r="L83" s="102" t="b">
        <v>0</v>
      </c>
      <c r="M83" s="105">
        <v>42736</v>
      </c>
      <c r="N83" s="102">
        <v>1</v>
      </c>
      <c r="O83" s="102" t="s">
        <v>1157</v>
      </c>
      <c r="P83" s="102" t="s">
        <v>1158</v>
      </c>
      <c r="Q83" s="102" t="s">
        <v>1159</v>
      </c>
      <c r="R83" s="102" t="s">
        <v>1160</v>
      </c>
      <c r="S83" s="102">
        <v>0</v>
      </c>
      <c r="T83" s="103" t="s">
        <v>17</v>
      </c>
      <c r="U83" s="99" t="s">
        <v>700</v>
      </c>
    </row>
    <row r="84" ht="20.4" spans="1:21">
      <c r="A84" s="97">
        <v>83</v>
      </c>
      <c r="B84" s="98">
        <v>45538</v>
      </c>
      <c r="C84" s="99" t="s">
        <v>31</v>
      </c>
      <c r="D84" s="99">
        <v>3</v>
      </c>
      <c r="E84" s="100" t="s">
        <v>332</v>
      </c>
      <c r="F84" s="101" t="s">
        <v>843</v>
      </c>
      <c r="G84" s="99">
        <v>42</v>
      </c>
      <c r="H84" s="102" t="b">
        <v>0</v>
      </c>
      <c r="I84" s="105">
        <v>42736</v>
      </c>
      <c r="J84" s="102">
        <v>1</v>
      </c>
      <c r="K84" s="102">
        <v>1</v>
      </c>
      <c r="L84" s="102" t="b">
        <v>0</v>
      </c>
      <c r="M84" s="105">
        <v>42736</v>
      </c>
      <c r="N84" s="102">
        <v>1</v>
      </c>
      <c r="O84" s="102" t="s">
        <v>1157</v>
      </c>
      <c r="P84" s="102" t="s">
        <v>1158</v>
      </c>
      <c r="Q84" s="102" t="s">
        <v>1159</v>
      </c>
      <c r="R84" s="102" t="s">
        <v>1160</v>
      </c>
      <c r="S84" s="102">
        <v>0</v>
      </c>
      <c r="T84" s="99" t="s">
        <v>17</v>
      </c>
      <c r="U84" s="99" t="s">
        <v>701</v>
      </c>
    </row>
    <row r="85" ht="20.4" spans="1:21">
      <c r="A85" s="97">
        <v>84</v>
      </c>
      <c r="B85" s="98">
        <v>45538</v>
      </c>
      <c r="C85" s="99" t="s">
        <v>31</v>
      </c>
      <c r="D85" s="99">
        <v>3</v>
      </c>
      <c r="E85" s="100" t="s">
        <v>746</v>
      </c>
      <c r="F85" s="97" t="s">
        <v>885</v>
      </c>
      <c r="G85" s="99">
        <v>18</v>
      </c>
      <c r="H85" s="102" t="b">
        <v>0</v>
      </c>
      <c r="I85" s="105">
        <v>42736</v>
      </c>
      <c r="J85" s="102">
        <v>1</v>
      </c>
      <c r="K85" s="102">
        <v>1</v>
      </c>
      <c r="L85" s="102" t="b">
        <v>0</v>
      </c>
      <c r="M85" s="105">
        <v>42736</v>
      </c>
      <c r="N85" s="102">
        <v>1</v>
      </c>
      <c r="O85" s="102" t="s">
        <v>1157</v>
      </c>
      <c r="P85" s="102" t="s">
        <v>1158</v>
      </c>
      <c r="Q85" s="102" t="s">
        <v>1159</v>
      </c>
      <c r="R85" s="102" t="s">
        <v>1160</v>
      </c>
      <c r="S85" s="102">
        <v>0</v>
      </c>
      <c r="T85" s="99" t="s">
        <v>17</v>
      </c>
      <c r="U85" s="99" t="s">
        <v>700</v>
      </c>
    </row>
    <row r="86" ht="20.4" spans="1:21">
      <c r="A86" s="97">
        <v>85</v>
      </c>
      <c r="B86" s="98">
        <v>45538</v>
      </c>
      <c r="C86" s="99" t="s">
        <v>31</v>
      </c>
      <c r="D86" s="99">
        <v>3</v>
      </c>
      <c r="E86" s="100" t="s">
        <v>338</v>
      </c>
      <c r="F86" s="97" t="s">
        <v>886</v>
      </c>
      <c r="G86" s="99">
        <v>52</v>
      </c>
      <c r="H86" s="102" t="b">
        <v>0</v>
      </c>
      <c r="I86" s="105">
        <v>42736</v>
      </c>
      <c r="J86" s="102">
        <v>1</v>
      </c>
      <c r="K86" s="102">
        <v>1</v>
      </c>
      <c r="L86" s="102" t="b">
        <v>0</v>
      </c>
      <c r="M86" s="105">
        <v>42736</v>
      </c>
      <c r="N86" s="102">
        <v>1</v>
      </c>
      <c r="O86" s="102" t="s">
        <v>1157</v>
      </c>
      <c r="P86" s="102" t="s">
        <v>1158</v>
      </c>
      <c r="Q86" s="102" t="s">
        <v>1159</v>
      </c>
      <c r="R86" s="102" t="s">
        <v>1160</v>
      </c>
      <c r="S86" s="102">
        <v>0</v>
      </c>
      <c r="T86" s="99" t="s">
        <v>17</v>
      </c>
      <c r="U86" s="99" t="s">
        <v>701</v>
      </c>
    </row>
    <row r="87" ht="20.4" spans="1:21">
      <c r="A87" s="97">
        <v>86</v>
      </c>
      <c r="B87" s="98">
        <v>45538</v>
      </c>
      <c r="C87" s="99" t="s">
        <v>31</v>
      </c>
      <c r="D87" s="99">
        <v>3</v>
      </c>
      <c r="E87" s="100" t="s">
        <v>747</v>
      </c>
      <c r="F87" s="101" t="s">
        <v>870</v>
      </c>
      <c r="G87" s="99">
        <v>46</v>
      </c>
      <c r="H87" s="102" t="b">
        <v>0</v>
      </c>
      <c r="I87" s="105">
        <v>42736</v>
      </c>
      <c r="J87" s="102">
        <v>1</v>
      </c>
      <c r="K87" s="102">
        <v>1</v>
      </c>
      <c r="L87" s="102" t="b">
        <v>0</v>
      </c>
      <c r="M87" s="105">
        <v>42736</v>
      </c>
      <c r="N87" s="102">
        <v>1</v>
      </c>
      <c r="O87" s="102" t="s">
        <v>1157</v>
      </c>
      <c r="P87" s="102" t="s">
        <v>1158</v>
      </c>
      <c r="Q87" s="102" t="s">
        <v>1159</v>
      </c>
      <c r="R87" s="102" t="s">
        <v>1160</v>
      </c>
      <c r="S87" s="102">
        <v>0</v>
      </c>
      <c r="T87" s="99" t="s">
        <v>711</v>
      </c>
      <c r="U87" s="99" t="s">
        <v>701</v>
      </c>
    </row>
    <row r="88" ht="20.4" spans="1:21">
      <c r="A88" s="97">
        <v>87</v>
      </c>
      <c r="B88" s="98">
        <v>45538</v>
      </c>
      <c r="C88" s="99" t="s">
        <v>31</v>
      </c>
      <c r="D88" s="99">
        <v>3</v>
      </c>
      <c r="E88" s="100" t="s">
        <v>748</v>
      </c>
      <c r="F88" s="101" t="s">
        <v>862</v>
      </c>
      <c r="G88" s="99">
        <v>21</v>
      </c>
      <c r="H88" s="102" t="b">
        <v>0</v>
      </c>
      <c r="I88" s="105">
        <v>42736</v>
      </c>
      <c r="J88" s="102">
        <v>1</v>
      </c>
      <c r="K88" s="102">
        <v>1</v>
      </c>
      <c r="L88" s="102" t="b">
        <v>0</v>
      </c>
      <c r="M88" s="105">
        <v>42736</v>
      </c>
      <c r="N88" s="102">
        <v>1</v>
      </c>
      <c r="O88" s="102" t="s">
        <v>1157</v>
      </c>
      <c r="P88" s="102" t="s">
        <v>1158</v>
      </c>
      <c r="Q88" s="102" t="s">
        <v>1159</v>
      </c>
      <c r="R88" s="102" t="s">
        <v>1160</v>
      </c>
      <c r="S88" s="102">
        <v>0</v>
      </c>
      <c r="T88" s="99" t="s">
        <v>17</v>
      </c>
      <c r="U88" s="99" t="s">
        <v>701</v>
      </c>
    </row>
    <row r="89" ht="20.4" spans="1:21">
      <c r="A89" s="97">
        <v>88</v>
      </c>
      <c r="B89" s="98">
        <v>45538</v>
      </c>
      <c r="C89" s="99" t="s">
        <v>31</v>
      </c>
      <c r="D89" s="99">
        <v>3</v>
      </c>
      <c r="E89" s="100" t="s">
        <v>343</v>
      </c>
      <c r="F89" s="97" t="s">
        <v>887</v>
      </c>
      <c r="G89" s="99">
        <v>44</v>
      </c>
      <c r="H89" s="102" t="b">
        <v>0</v>
      </c>
      <c r="I89" s="105">
        <v>42736</v>
      </c>
      <c r="J89" s="102">
        <v>1</v>
      </c>
      <c r="K89" s="102">
        <v>1</v>
      </c>
      <c r="L89" s="102" t="b">
        <v>0</v>
      </c>
      <c r="M89" s="105">
        <v>42736</v>
      </c>
      <c r="N89" s="102">
        <v>1</v>
      </c>
      <c r="O89" s="102" t="s">
        <v>1157</v>
      </c>
      <c r="P89" s="102" t="s">
        <v>1158</v>
      </c>
      <c r="Q89" s="102" t="s">
        <v>1159</v>
      </c>
      <c r="R89" s="102" t="s">
        <v>1160</v>
      </c>
      <c r="S89" s="102">
        <v>0</v>
      </c>
      <c r="T89" s="99" t="s">
        <v>17</v>
      </c>
      <c r="U89" s="99" t="s">
        <v>701</v>
      </c>
    </row>
    <row r="90" ht="20.4" spans="1:21">
      <c r="A90" s="97">
        <v>89</v>
      </c>
      <c r="B90" s="98">
        <v>45538</v>
      </c>
      <c r="C90" s="99" t="s">
        <v>31</v>
      </c>
      <c r="D90" s="99">
        <v>3</v>
      </c>
      <c r="E90" s="100" t="s">
        <v>749</v>
      </c>
      <c r="F90" s="101" t="s">
        <v>888</v>
      </c>
      <c r="G90" s="99">
        <v>151</v>
      </c>
      <c r="H90" s="102" t="b">
        <v>0</v>
      </c>
      <c r="I90" s="105">
        <v>42736</v>
      </c>
      <c r="J90" s="102">
        <v>1</v>
      </c>
      <c r="K90" s="102">
        <v>1</v>
      </c>
      <c r="L90" s="102" t="b">
        <v>0</v>
      </c>
      <c r="M90" s="105">
        <v>42736</v>
      </c>
      <c r="N90" s="102">
        <v>1</v>
      </c>
      <c r="O90" s="102" t="s">
        <v>1157</v>
      </c>
      <c r="P90" s="102" t="s">
        <v>1158</v>
      </c>
      <c r="Q90" s="102" t="s">
        <v>1159</v>
      </c>
      <c r="R90" s="102" t="s">
        <v>1160</v>
      </c>
      <c r="S90" s="102">
        <v>0</v>
      </c>
      <c r="T90" s="99" t="s">
        <v>17</v>
      </c>
      <c r="U90" s="99" t="s">
        <v>701</v>
      </c>
    </row>
    <row r="91" ht="20.4" spans="1:21">
      <c r="A91" s="97">
        <v>90</v>
      </c>
      <c r="B91" s="98">
        <v>45538</v>
      </c>
      <c r="C91" s="99" t="s">
        <v>31</v>
      </c>
      <c r="D91" s="99">
        <v>3</v>
      </c>
      <c r="E91" s="100" t="s">
        <v>750</v>
      </c>
      <c r="F91" s="101" t="s">
        <v>889</v>
      </c>
      <c r="G91" s="99">
        <v>49</v>
      </c>
      <c r="H91" s="102" t="b">
        <v>0</v>
      </c>
      <c r="I91" s="105">
        <v>42736</v>
      </c>
      <c r="J91" s="102">
        <v>1</v>
      </c>
      <c r="K91" s="102">
        <v>1</v>
      </c>
      <c r="L91" s="102" t="b">
        <v>0</v>
      </c>
      <c r="M91" s="105">
        <v>42736</v>
      </c>
      <c r="N91" s="102">
        <v>1</v>
      </c>
      <c r="O91" s="102" t="s">
        <v>1157</v>
      </c>
      <c r="P91" s="102" t="s">
        <v>1158</v>
      </c>
      <c r="Q91" s="102" t="s">
        <v>1159</v>
      </c>
      <c r="R91" s="102" t="s">
        <v>1160</v>
      </c>
      <c r="S91" s="102">
        <v>0</v>
      </c>
      <c r="T91" s="99" t="s">
        <v>17</v>
      </c>
      <c r="U91" s="99" t="s">
        <v>701</v>
      </c>
    </row>
    <row r="92" ht="20.4" spans="1:21">
      <c r="A92" s="97">
        <v>91</v>
      </c>
      <c r="B92" s="98">
        <v>45538</v>
      </c>
      <c r="C92" s="99" t="s">
        <v>31</v>
      </c>
      <c r="D92" s="99">
        <v>3</v>
      </c>
      <c r="E92" s="100" t="s">
        <v>353</v>
      </c>
      <c r="F92" s="101" t="s">
        <v>890</v>
      </c>
      <c r="G92" s="99">
        <v>115</v>
      </c>
      <c r="H92" s="102" t="b">
        <v>0</v>
      </c>
      <c r="I92" s="105">
        <v>42736</v>
      </c>
      <c r="J92" s="102">
        <v>1</v>
      </c>
      <c r="K92" s="102">
        <v>1</v>
      </c>
      <c r="L92" s="102" t="b">
        <v>0</v>
      </c>
      <c r="M92" s="105">
        <v>42736</v>
      </c>
      <c r="N92" s="102">
        <v>1</v>
      </c>
      <c r="O92" s="102" t="s">
        <v>1157</v>
      </c>
      <c r="P92" s="102" t="s">
        <v>1158</v>
      </c>
      <c r="Q92" s="102" t="s">
        <v>1159</v>
      </c>
      <c r="R92" s="102" t="s">
        <v>1160</v>
      </c>
      <c r="S92" s="102">
        <v>0</v>
      </c>
      <c r="T92" s="99" t="s">
        <v>17</v>
      </c>
      <c r="U92" s="99" t="s">
        <v>701</v>
      </c>
    </row>
    <row r="93" ht="20.4" spans="1:21">
      <c r="A93" s="97">
        <v>92</v>
      </c>
      <c r="B93" s="98">
        <v>45538</v>
      </c>
      <c r="C93" s="99" t="s">
        <v>31</v>
      </c>
      <c r="D93" s="99">
        <v>3</v>
      </c>
      <c r="E93" s="100" t="s">
        <v>751</v>
      </c>
      <c r="F93" s="101" t="s">
        <v>877</v>
      </c>
      <c r="G93" s="99">
        <v>49</v>
      </c>
      <c r="H93" s="102" t="b">
        <v>0</v>
      </c>
      <c r="I93" s="105">
        <v>42736</v>
      </c>
      <c r="J93" s="102">
        <v>1</v>
      </c>
      <c r="K93" s="102">
        <v>1</v>
      </c>
      <c r="L93" s="102" t="b">
        <v>0</v>
      </c>
      <c r="M93" s="105">
        <v>42736</v>
      </c>
      <c r="N93" s="102">
        <v>1</v>
      </c>
      <c r="O93" s="102" t="s">
        <v>1157</v>
      </c>
      <c r="P93" s="102" t="s">
        <v>1158</v>
      </c>
      <c r="Q93" s="102" t="s">
        <v>1159</v>
      </c>
      <c r="R93" s="102" t="s">
        <v>1160</v>
      </c>
      <c r="S93" s="102">
        <v>0</v>
      </c>
      <c r="T93" s="99" t="s">
        <v>17</v>
      </c>
      <c r="U93" s="99" t="s">
        <v>700</v>
      </c>
    </row>
    <row r="94" ht="20.4" spans="1:21">
      <c r="A94" s="97">
        <v>93</v>
      </c>
      <c r="B94" s="98">
        <v>45538</v>
      </c>
      <c r="C94" s="99" t="s">
        <v>80</v>
      </c>
      <c r="D94" s="99">
        <v>2</v>
      </c>
      <c r="E94" s="100" t="s">
        <v>752</v>
      </c>
      <c r="F94" s="97" t="s">
        <v>886</v>
      </c>
      <c r="G94" s="99">
        <v>52</v>
      </c>
      <c r="H94" s="102" t="b">
        <v>0</v>
      </c>
      <c r="I94" s="105">
        <v>42736</v>
      </c>
      <c r="J94" s="102">
        <v>1</v>
      </c>
      <c r="K94" s="102">
        <v>1</v>
      </c>
      <c r="L94" s="102" t="b">
        <v>0</v>
      </c>
      <c r="M94" s="105">
        <v>42736</v>
      </c>
      <c r="N94" s="102">
        <v>1</v>
      </c>
      <c r="O94" s="102" t="s">
        <v>1157</v>
      </c>
      <c r="P94" s="102" t="s">
        <v>1158</v>
      </c>
      <c r="Q94" s="102" t="s">
        <v>1159</v>
      </c>
      <c r="R94" s="102" t="s">
        <v>1160</v>
      </c>
      <c r="S94" s="102">
        <v>0</v>
      </c>
      <c r="T94" s="99" t="s">
        <v>17</v>
      </c>
      <c r="U94" s="99" t="s">
        <v>701</v>
      </c>
    </row>
    <row r="95" ht="20.4" spans="1:21">
      <c r="A95" s="97">
        <v>94</v>
      </c>
      <c r="B95" s="98">
        <v>45538</v>
      </c>
      <c r="C95" s="99" t="s">
        <v>80</v>
      </c>
      <c r="D95" s="99">
        <v>2</v>
      </c>
      <c r="E95" s="100" t="s">
        <v>358</v>
      </c>
      <c r="F95" s="97" t="s">
        <v>891</v>
      </c>
      <c r="G95" s="99">
        <v>173</v>
      </c>
      <c r="H95" s="102" t="b">
        <v>0</v>
      </c>
      <c r="I95" s="105">
        <v>42736</v>
      </c>
      <c r="J95" s="102">
        <v>1</v>
      </c>
      <c r="K95" s="102">
        <v>1</v>
      </c>
      <c r="L95" s="102" t="b">
        <v>0</v>
      </c>
      <c r="M95" s="105">
        <v>42736</v>
      </c>
      <c r="N95" s="102">
        <v>1</v>
      </c>
      <c r="O95" s="102" t="s">
        <v>1157</v>
      </c>
      <c r="P95" s="102" t="s">
        <v>1158</v>
      </c>
      <c r="Q95" s="102" t="s">
        <v>1159</v>
      </c>
      <c r="R95" s="102" t="s">
        <v>1160</v>
      </c>
      <c r="S95" s="102">
        <v>0</v>
      </c>
      <c r="T95" s="99" t="s">
        <v>17</v>
      </c>
      <c r="U95" s="99" t="s">
        <v>701</v>
      </c>
    </row>
    <row r="96" ht="20.4" spans="1:21">
      <c r="A96" s="97">
        <v>95</v>
      </c>
      <c r="B96" s="98">
        <v>45538</v>
      </c>
      <c r="C96" s="99" t="s">
        <v>80</v>
      </c>
      <c r="D96" s="99">
        <v>2</v>
      </c>
      <c r="E96" s="100" t="s">
        <v>753</v>
      </c>
      <c r="F96" s="97" t="s">
        <v>828</v>
      </c>
      <c r="G96" s="99">
        <v>22</v>
      </c>
      <c r="H96" s="102" t="b">
        <v>0</v>
      </c>
      <c r="I96" s="105">
        <v>42736</v>
      </c>
      <c r="J96" s="102">
        <v>1</v>
      </c>
      <c r="K96" s="102">
        <v>1</v>
      </c>
      <c r="L96" s="102" t="b">
        <v>0</v>
      </c>
      <c r="M96" s="105">
        <v>42736</v>
      </c>
      <c r="N96" s="102">
        <v>1</v>
      </c>
      <c r="O96" s="102" t="s">
        <v>1157</v>
      </c>
      <c r="P96" s="102" t="s">
        <v>1158</v>
      </c>
      <c r="Q96" s="102" t="s">
        <v>1159</v>
      </c>
      <c r="R96" s="102" t="s">
        <v>1160</v>
      </c>
      <c r="S96" s="102">
        <v>0</v>
      </c>
      <c r="T96" s="99" t="s">
        <v>17</v>
      </c>
      <c r="U96" s="99" t="s">
        <v>700</v>
      </c>
    </row>
    <row r="97" ht="20.4" spans="1:21">
      <c r="A97" s="97">
        <v>96</v>
      </c>
      <c r="B97" s="98">
        <v>45538</v>
      </c>
      <c r="C97" s="99" t="s">
        <v>87</v>
      </c>
      <c r="D97" s="99">
        <v>3</v>
      </c>
      <c r="E97" s="100" t="s">
        <v>365</v>
      </c>
      <c r="F97" s="97" t="s">
        <v>885</v>
      </c>
      <c r="G97" s="99">
        <v>83</v>
      </c>
      <c r="H97" s="102" t="b">
        <v>0</v>
      </c>
      <c r="I97" s="105">
        <v>42736</v>
      </c>
      <c r="J97" s="102">
        <v>1</v>
      </c>
      <c r="K97" s="102">
        <v>1</v>
      </c>
      <c r="L97" s="102" t="b">
        <v>0</v>
      </c>
      <c r="M97" s="105">
        <v>42736</v>
      </c>
      <c r="N97" s="102">
        <v>1</v>
      </c>
      <c r="O97" s="102" t="s">
        <v>1157</v>
      </c>
      <c r="P97" s="102" t="s">
        <v>1158</v>
      </c>
      <c r="Q97" s="102" t="s">
        <v>1159</v>
      </c>
      <c r="R97" s="102" t="s">
        <v>1160</v>
      </c>
      <c r="S97" s="102">
        <v>0</v>
      </c>
      <c r="T97" s="99" t="s">
        <v>17</v>
      </c>
      <c r="U97" s="99" t="s">
        <v>701</v>
      </c>
    </row>
    <row r="98" ht="20.4" spans="1:21">
      <c r="A98" s="97">
        <v>97</v>
      </c>
      <c r="B98" s="98">
        <v>45538</v>
      </c>
      <c r="C98" s="99" t="s">
        <v>87</v>
      </c>
      <c r="D98" s="99">
        <v>3</v>
      </c>
      <c r="E98" s="100" t="s">
        <v>892</v>
      </c>
      <c r="F98" s="97" t="s">
        <v>893</v>
      </c>
      <c r="G98" s="99">
        <v>2</v>
      </c>
      <c r="H98" s="102" t="b">
        <v>0</v>
      </c>
      <c r="I98" s="105">
        <v>42736</v>
      </c>
      <c r="J98" s="102">
        <v>1</v>
      </c>
      <c r="K98" s="102">
        <v>1</v>
      </c>
      <c r="L98" s="102" t="b">
        <v>0</v>
      </c>
      <c r="M98" s="105">
        <v>42736</v>
      </c>
      <c r="N98" s="102">
        <v>1</v>
      </c>
      <c r="O98" s="102" t="s">
        <v>1157</v>
      </c>
      <c r="P98" s="102" t="s">
        <v>1158</v>
      </c>
      <c r="Q98" s="102" t="s">
        <v>1159</v>
      </c>
      <c r="R98" s="102" t="s">
        <v>1160</v>
      </c>
      <c r="S98" s="102">
        <v>0</v>
      </c>
      <c r="T98" s="99" t="s">
        <v>17</v>
      </c>
      <c r="U98" s="99" t="s">
        <v>700</v>
      </c>
    </row>
    <row r="99" ht="20.4" spans="1:21">
      <c r="A99" s="97">
        <v>98</v>
      </c>
      <c r="B99" s="98">
        <v>45538</v>
      </c>
      <c r="C99" s="99" t="s">
        <v>87</v>
      </c>
      <c r="D99" s="99">
        <v>3</v>
      </c>
      <c r="E99" s="100" t="s">
        <v>755</v>
      </c>
      <c r="F99" s="97" t="s">
        <v>866</v>
      </c>
      <c r="G99" s="99">
        <v>126</v>
      </c>
      <c r="H99" s="102" t="b">
        <v>0</v>
      </c>
      <c r="I99" s="105">
        <v>42736</v>
      </c>
      <c r="J99" s="102">
        <v>1</v>
      </c>
      <c r="K99" s="102">
        <v>1</v>
      </c>
      <c r="L99" s="102" t="b">
        <v>0</v>
      </c>
      <c r="M99" s="105">
        <v>42736</v>
      </c>
      <c r="N99" s="102">
        <v>1</v>
      </c>
      <c r="O99" s="102" t="s">
        <v>1157</v>
      </c>
      <c r="P99" s="102" t="s">
        <v>1158</v>
      </c>
      <c r="Q99" s="102" t="s">
        <v>1159</v>
      </c>
      <c r="R99" s="102" t="s">
        <v>1160</v>
      </c>
      <c r="S99" s="102">
        <v>0</v>
      </c>
      <c r="T99" s="99" t="s">
        <v>17</v>
      </c>
      <c r="U99" s="99" t="s">
        <v>701</v>
      </c>
    </row>
    <row r="100" ht="20.4" spans="1:21">
      <c r="A100" s="97">
        <v>99</v>
      </c>
      <c r="B100" s="98">
        <v>45538</v>
      </c>
      <c r="C100" s="99" t="s">
        <v>87</v>
      </c>
      <c r="D100" s="99">
        <v>3</v>
      </c>
      <c r="E100" s="100" t="s">
        <v>756</v>
      </c>
      <c r="F100" s="97" t="s">
        <v>870</v>
      </c>
      <c r="G100" s="99">
        <v>146</v>
      </c>
      <c r="H100" s="102" t="b">
        <v>0</v>
      </c>
      <c r="I100" s="105">
        <v>42736</v>
      </c>
      <c r="J100" s="102">
        <v>1</v>
      </c>
      <c r="K100" s="102">
        <v>1</v>
      </c>
      <c r="L100" s="102" t="b">
        <v>0</v>
      </c>
      <c r="M100" s="105">
        <v>42736</v>
      </c>
      <c r="N100" s="102">
        <v>1</v>
      </c>
      <c r="O100" s="102" t="s">
        <v>1157</v>
      </c>
      <c r="P100" s="102" t="s">
        <v>1158</v>
      </c>
      <c r="Q100" s="102" t="s">
        <v>1159</v>
      </c>
      <c r="R100" s="102" t="s">
        <v>1160</v>
      </c>
      <c r="S100" s="102">
        <v>0</v>
      </c>
      <c r="T100" s="99" t="s">
        <v>711</v>
      </c>
      <c r="U100" s="99" t="s">
        <v>701</v>
      </c>
    </row>
    <row r="101" ht="20.4" spans="1:21">
      <c r="A101" s="97">
        <v>100</v>
      </c>
      <c r="B101" s="98">
        <v>45538</v>
      </c>
      <c r="C101" s="99" t="s">
        <v>87</v>
      </c>
      <c r="D101" s="99">
        <v>3</v>
      </c>
      <c r="E101" s="100" t="s">
        <v>757</v>
      </c>
      <c r="F101" s="101" t="s">
        <v>894</v>
      </c>
      <c r="G101" s="99">
        <v>12</v>
      </c>
      <c r="H101" s="102" t="b">
        <v>0</v>
      </c>
      <c r="I101" s="105">
        <v>42736</v>
      </c>
      <c r="J101" s="102">
        <v>1</v>
      </c>
      <c r="K101" s="102">
        <v>1</v>
      </c>
      <c r="L101" s="102" t="b">
        <v>0</v>
      </c>
      <c r="M101" s="105">
        <v>42736</v>
      </c>
      <c r="N101" s="102">
        <v>1</v>
      </c>
      <c r="O101" s="102" t="s">
        <v>1157</v>
      </c>
      <c r="P101" s="102" t="s">
        <v>1158</v>
      </c>
      <c r="Q101" s="102" t="s">
        <v>1159</v>
      </c>
      <c r="R101" s="102" t="s">
        <v>1160</v>
      </c>
      <c r="S101" s="102">
        <v>0</v>
      </c>
      <c r="T101" s="99" t="s">
        <v>711</v>
      </c>
      <c r="U101" s="99" t="s">
        <v>701</v>
      </c>
    </row>
    <row r="102" ht="20.4" spans="1:21">
      <c r="A102" s="97">
        <v>101</v>
      </c>
      <c r="B102" s="98">
        <v>45538</v>
      </c>
      <c r="C102" s="99" t="s">
        <v>87</v>
      </c>
      <c r="D102" s="99">
        <v>3</v>
      </c>
      <c r="E102" s="100" t="s">
        <v>758</v>
      </c>
      <c r="F102" s="101" t="s">
        <v>888</v>
      </c>
      <c r="G102" s="99">
        <v>117</v>
      </c>
      <c r="H102" s="102" t="b">
        <v>0</v>
      </c>
      <c r="I102" s="105">
        <v>42736</v>
      </c>
      <c r="J102" s="102">
        <v>1</v>
      </c>
      <c r="K102" s="102">
        <v>1</v>
      </c>
      <c r="L102" s="102" t="b">
        <v>0</v>
      </c>
      <c r="M102" s="105">
        <v>42736</v>
      </c>
      <c r="N102" s="102">
        <v>1</v>
      </c>
      <c r="O102" s="102" t="s">
        <v>1157</v>
      </c>
      <c r="P102" s="102" t="s">
        <v>1158</v>
      </c>
      <c r="Q102" s="102" t="s">
        <v>1159</v>
      </c>
      <c r="R102" s="102" t="s">
        <v>1160</v>
      </c>
      <c r="S102" s="102">
        <v>0</v>
      </c>
      <c r="T102" s="99" t="s">
        <v>17</v>
      </c>
      <c r="U102" s="99" t="s">
        <v>701</v>
      </c>
    </row>
    <row r="103" ht="20.4" spans="1:21">
      <c r="A103" s="97">
        <v>102</v>
      </c>
      <c r="B103" s="98">
        <v>45538</v>
      </c>
      <c r="C103" s="99" t="s">
        <v>87</v>
      </c>
      <c r="D103" s="99">
        <v>3</v>
      </c>
      <c r="E103" s="100" t="s">
        <v>759</v>
      </c>
      <c r="F103" s="101" t="s">
        <v>895</v>
      </c>
      <c r="G103" s="99">
        <v>24</v>
      </c>
      <c r="H103" s="102" t="b">
        <v>0</v>
      </c>
      <c r="I103" s="105">
        <v>42736</v>
      </c>
      <c r="J103" s="102">
        <v>1</v>
      </c>
      <c r="K103" s="102">
        <v>1</v>
      </c>
      <c r="L103" s="102" t="b">
        <v>0</v>
      </c>
      <c r="M103" s="105">
        <v>42736</v>
      </c>
      <c r="N103" s="102">
        <v>1</v>
      </c>
      <c r="O103" s="102" t="s">
        <v>1157</v>
      </c>
      <c r="P103" s="102" t="s">
        <v>1158</v>
      </c>
      <c r="Q103" s="102" t="s">
        <v>1159</v>
      </c>
      <c r="R103" s="102" t="s">
        <v>1160</v>
      </c>
      <c r="S103" s="102">
        <v>0</v>
      </c>
      <c r="T103" s="99" t="s">
        <v>17</v>
      </c>
      <c r="U103" s="99" t="s">
        <v>700</v>
      </c>
    </row>
    <row r="104" ht="20.4" spans="1:21">
      <c r="A104" s="97">
        <v>103</v>
      </c>
      <c r="B104" s="98">
        <v>45538</v>
      </c>
      <c r="C104" s="99" t="s">
        <v>312</v>
      </c>
      <c r="D104" s="99">
        <v>4</v>
      </c>
      <c r="E104" s="100" t="s">
        <v>760</v>
      </c>
      <c r="F104" s="97" t="s">
        <v>889</v>
      </c>
      <c r="G104" s="99">
        <v>49</v>
      </c>
      <c r="H104" s="102" t="b">
        <v>0</v>
      </c>
      <c r="I104" s="105">
        <v>42736</v>
      </c>
      <c r="J104" s="102">
        <v>1</v>
      </c>
      <c r="K104" s="102">
        <v>1</v>
      </c>
      <c r="L104" s="102" t="b">
        <v>0</v>
      </c>
      <c r="M104" s="105">
        <v>42736</v>
      </c>
      <c r="N104" s="102">
        <v>1</v>
      </c>
      <c r="O104" s="102" t="s">
        <v>1157</v>
      </c>
      <c r="P104" s="102" t="s">
        <v>1158</v>
      </c>
      <c r="Q104" s="102" t="s">
        <v>1159</v>
      </c>
      <c r="R104" s="102" t="s">
        <v>1160</v>
      </c>
      <c r="S104" s="102">
        <v>0</v>
      </c>
      <c r="T104" s="99" t="s">
        <v>17</v>
      </c>
      <c r="U104" s="99" t="s">
        <v>701</v>
      </c>
    </row>
    <row r="105" ht="20.4" spans="1:21">
      <c r="A105" s="97">
        <v>104</v>
      </c>
      <c r="B105" s="98">
        <v>45539</v>
      </c>
      <c r="C105" s="99" t="s">
        <v>11</v>
      </c>
      <c r="D105" s="99">
        <v>2</v>
      </c>
      <c r="E105" s="100" t="s">
        <v>384</v>
      </c>
      <c r="F105" s="97" t="s">
        <v>896</v>
      </c>
      <c r="G105" s="99">
        <v>20</v>
      </c>
      <c r="H105" s="102" t="b">
        <v>0</v>
      </c>
      <c r="I105" s="105">
        <v>42736</v>
      </c>
      <c r="J105" s="102">
        <v>1</v>
      </c>
      <c r="K105" s="102">
        <v>1</v>
      </c>
      <c r="L105" s="102" t="b">
        <v>0</v>
      </c>
      <c r="M105" s="105">
        <v>42736</v>
      </c>
      <c r="N105" s="102">
        <v>1</v>
      </c>
      <c r="O105" s="102" t="s">
        <v>1157</v>
      </c>
      <c r="P105" s="102" t="s">
        <v>1158</v>
      </c>
      <c r="Q105" s="102" t="s">
        <v>1159</v>
      </c>
      <c r="R105" s="102" t="s">
        <v>1160</v>
      </c>
      <c r="S105" s="102">
        <v>0</v>
      </c>
      <c r="T105" s="99" t="s">
        <v>17</v>
      </c>
      <c r="U105" s="99" t="s">
        <v>701</v>
      </c>
    </row>
    <row r="106" ht="20.4" spans="1:21">
      <c r="A106" s="97">
        <v>105</v>
      </c>
      <c r="B106" s="98">
        <v>45539</v>
      </c>
      <c r="C106" s="99" t="s">
        <v>31</v>
      </c>
      <c r="D106" s="99">
        <v>3</v>
      </c>
      <c r="E106" s="100" t="s">
        <v>761</v>
      </c>
      <c r="F106" s="97" t="s">
        <v>897</v>
      </c>
      <c r="G106" s="99">
        <v>63</v>
      </c>
      <c r="H106" s="102" t="b">
        <v>0</v>
      </c>
      <c r="I106" s="105">
        <v>42736</v>
      </c>
      <c r="J106" s="102">
        <v>1</v>
      </c>
      <c r="K106" s="102">
        <v>1</v>
      </c>
      <c r="L106" s="102" t="b">
        <v>0</v>
      </c>
      <c r="M106" s="105">
        <v>42736</v>
      </c>
      <c r="N106" s="102">
        <v>1</v>
      </c>
      <c r="O106" s="102" t="s">
        <v>1157</v>
      </c>
      <c r="P106" s="102" t="s">
        <v>1158</v>
      </c>
      <c r="Q106" s="102" t="s">
        <v>1159</v>
      </c>
      <c r="R106" s="102" t="s">
        <v>1160</v>
      </c>
      <c r="S106" s="102">
        <v>0</v>
      </c>
      <c r="T106" s="99" t="s">
        <v>17</v>
      </c>
      <c r="U106" s="99" t="s">
        <v>701</v>
      </c>
    </row>
    <row r="107" ht="20.4" spans="1:21">
      <c r="A107" s="97">
        <v>106</v>
      </c>
      <c r="B107" s="98">
        <v>45539</v>
      </c>
      <c r="C107" s="99" t="s">
        <v>31</v>
      </c>
      <c r="D107" s="99">
        <v>3</v>
      </c>
      <c r="E107" s="100" t="s">
        <v>392</v>
      </c>
      <c r="F107" s="97" t="s">
        <v>898</v>
      </c>
      <c r="G107" s="99">
        <v>631</v>
      </c>
      <c r="H107" s="102" t="b">
        <v>0</v>
      </c>
      <c r="I107" s="105">
        <v>42736</v>
      </c>
      <c r="J107" s="102">
        <v>1</v>
      </c>
      <c r="K107" s="102">
        <v>1</v>
      </c>
      <c r="L107" s="102" t="b">
        <v>0</v>
      </c>
      <c r="M107" s="105">
        <v>42736</v>
      </c>
      <c r="N107" s="102">
        <v>1</v>
      </c>
      <c r="O107" s="102" t="s">
        <v>1157</v>
      </c>
      <c r="P107" s="102" t="s">
        <v>1158</v>
      </c>
      <c r="Q107" s="102" t="s">
        <v>1159</v>
      </c>
      <c r="R107" s="102" t="s">
        <v>1160</v>
      </c>
      <c r="S107" s="102">
        <v>0</v>
      </c>
      <c r="T107" s="99" t="s">
        <v>17</v>
      </c>
      <c r="U107" s="99" t="s">
        <v>701</v>
      </c>
    </row>
    <row r="108" ht="20.4" spans="1:21">
      <c r="A108" s="97">
        <v>107</v>
      </c>
      <c r="B108" s="98">
        <v>45539</v>
      </c>
      <c r="C108" s="99" t="s">
        <v>31</v>
      </c>
      <c r="D108" s="99">
        <v>3</v>
      </c>
      <c r="E108" s="106" t="s">
        <v>762</v>
      </c>
      <c r="F108" s="97" t="s">
        <v>829</v>
      </c>
      <c r="G108" s="103">
        <v>11</v>
      </c>
      <c r="H108" s="102" t="b">
        <v>0</v>
      </c>
      <c r="I108" s="105">
        <v>42736</v>
      </c>
      <c r="J108" s="102">
        <v>1</v>
      </c>
      <c r="K108" s="102">
        <v>1</v>
      </c>
      <c r="L108" s="102" t="b">
        <v>0</v>
      </c>
      <c r="M108" s="105">
        <v>42736</v>
      </c>
      <c r="N108" s="102">
        <v>1</v>
      </c>
      <c r="O108" s="102" t="s">
        <v>1157</v>
      </c>
      <c r="P108" s="102" t="s">
        <v>1158</v>
      </c>
      <c r="Q108" s="102" t="s">
        <v>1159</v>
      </c>
      <c r="R108" s="102" t="s">
        <v>1160</v>
      </c>
      <c r="S108" s="102">
        <v>0</v>
      </c>
      <c r="T108" s="99" t="s">
        <v>711</v>
      </c>
      <c r="U108" s="99" t="s">
        <v>701</v>
      </c>
    </row>
    <row r="109" ht="20.4" spans="1:21">
      <c r="A109" s="97">
        <v>108</v>
      </c>
      <c r="B109" s="98">
        <v>45539</v>
      </c>
      <c r="C109" s="99" t="s">
        <v>31</v>
      </c>
      <c r="D109" s="99">
        <v>3</v>
      </c>
      <c r="E109" s="100" t="s">
        <v>763</v>
      </c>
      <c r="F109" s="101" t="s">
        <v>899</v>
      </c>
      <c r="G109" s="99">
        <v>7</v>
      </c>
      <c r="H109" s="102" t="b">
        <v>0</v>
      </c>
      <c r="I109" s="105">
        <v>42736</v>
      </c>
      <c r="J109" s="102">
        <v>1</v>
      </c>
      <c r="K109" s="102">
        <v>1</v>
      </c>
      <c r="L109" s="102" t="b">
        <v>0</v>
      </c>
      <c r="M109" s="105">
        <v>42736</v>
      </c>
      <c r="N109" s="102">
        <v>1</v>
      </c>
      <c r="O109" s="102" t="s">
        <v>1157</v>
      </c>
      <c r="P109" s="102" t="s">
        <v>1158</v>
      </c>
      <c r="Q109" s="102" t="s">
        <v>1159</v>
      </c>
      <c r="R109" s="102" t="s">
        <v>1160</v>
      </c>
      <c r="S109" s="102">
        <v>0</v>
      </c>
      <c r="T109" s="99" t="s">
        <v>17</v>
      </c>
      <c r="U109" s="99" t="s">
        <v>700</v>
      </c>
    </row>
    <row r="110" ht="20.4" spans="1:21">
      <c r="A110" s="97">
        <v>109</v>
      </c>
      <c r="B110" s="98">
        <v>45539</v>
      </c>
      <c r="C110" s="99" t="s">
        <v>31</v>
      </c>
      <c r="D110" s="99">
        <v>3</v>
      </c>
      <c r="E110" s="100" t="s">
        <v>159</v>
      </c>
      <c r="F110" s="101" t="s">
        <v>853</v>
      </c>
      <c r="G110" s="99">
        <v>75</v>
      </c>
      <c r="H110" s="102" t="b">
        <v>0</v>
      </c>
      <c r="I110" s="105">
        <v>42736</v>
      </c>
      <c r="J110" s="102">
        <v>1</v>
      </c>
      <c r="K110" s="102">
        <v>1</v>
      </c>
      <c r="L110" s="102" t="b">
        <v>0</v>
      </c>
      <c r="M110" s="105">
        <v>42736</v>
      </c>
      <c r="N110" s="102">
        <v>1</v>
      </c>
      <c r="O110" s="102" t="s">
        <v>1157</v>
      </c>
      <c r="P110" s="102" t="s">
        <v>1158</v>
      </c>
      <c r="Q110" s="102" t="s">
        <v>1159</v>
      </c>
      <c r="R110" s="102" t="s">
        <v>1160</v>
      </c>
      <c r="S110" s="102">
        <v>0</v>
      </c>
      <c r="T110" s="99" t="s">
        <v>17</v>
      </c>
      <c r="U110" s="99" t="s">
        <v>701</v>
      </c>
    </row>
    <row r="111" ht="20.4" spans="1:21">
      <c r="A111" s="97">
        <v>110</v>
      </c>
      <c r="B111" s="98">
        <v>45539</v>
      </c>
      <c r="C111" s="99" t="s">
        <v>31</v>
      </c>
      <c r="D111" s="99">
        <v>3</v>
      </c>
      <c r="E111" s="100" t="s">
        <v>764</v>
      </c>
      <c r="F111" s="101" t="s">
        <v>888</v>
      </c>
      <c r="G111" s="99">
        <v>83</v>
      </c>
      <c r="H111" s="102" t="b">
        <v>0</v>
      </c>
      <c r="I111" s="105">
        <v>42736</v>
      </c>
      <c r="J111" s="102">
        <v>1</v>
      </c>
      <c r="K111" s="102">
        <v>1</v>
      </c>
      <c r="L111" s="102" t="b">
        <v>0</v>
      </c>
      <c r="M111" s="105">
        <v>42736</v>
      </c>
      <c r="N111" s="102">
        <v>1</v>
      </c>
      <c r="O111" s="102" t="s">
        <v>1157</v>
      </c>
      <c r="P111" s="102" t="s">
        <v>1158</v>
      </c>
      <c r="Q111" s="102" t="s">
        <v>1159</v>
      </c>
      <c r="R111" s="102" t="s">
        <v>1160</v>
      </c>
      <c r="S111" s="102">
        <v>0</v>
      </c>
      <c r="T111" s="99" t="s">
        <v>17</v>
      </c>
      <c r="U111" s="99" t="s">
        <v>701</v>
      </c>
    </row>
    <row r="112" ht="20.4" spans="1:21">
      <c r="A112" s="97">
        <v>111</v>
      </c>
      <c r="B112" s="98">
        <v>45539</v>
      </c>
      <c r="C112" s="99" t="s">
        <v>31</v>
      </c>
      <c r="D112" s="99">
        <v>3</v>
      </c>
      <c r="E112" s="100" t="s">
        <v>765</v>
      </c>
      <c r="F112" s="101" t="s">
        <v>900</v>
      </c>
      <c r="G112" s="99">
        <v>41</v>
      </c>
      <c r="H112" s="102" t="b">
        <v>0</v>
      </c>
      <c r="I112" s="105">
        <v>42736</v>
      </c>
      <c r="J112" s="102">
        <v>1</v>
      </c>
      <c r="K112" s="102">
        <v>1</v>
      </c>
      <c r="L112" s="102" t="b">
        <v>0</v>
      </c>
      <c r="M112" s="105">
        <v>42736</v>
      </c>
      <c r="N112" s="102">
        <v>1</v>
      </c>
      <c r="O112" s="102" t="s">
        <v>1157</v>
      </c>
      <c r="P112" s="102" t="s">
        <v>1158</v>
      </c>
      <c r="Q112" s="102" t="s">
        <v>1159</v>
      </c>
      <c r="R112" s="102" t="s">
        <v>1160</v>
      </c>
      <c r="S112" s="102">
        <v>0</v>
      </c>
      <c r="T112" s="99" t="s">
        <v>17</v>
      </c>
      <c r="U112" s="99" t="s">
        <v>701</v>
      </c>
    </row>
    <row r="113" ht="20.4" spans="1:21">
      <c r="A113" s="97">
        <v>112</v>
      </c>
      <c r="B113" s="98">
        <v>45539</v>
      </c>
      <c r="C113" s="99" t="s">
        <v>87</v>
      </c>
      <c r="D113" s="99">
        <v>3</v>
      </c>
      <c r="E113" s="100" t="s">
        <v>766</v>
      </c>
      <c r="F113" s="101" t="s">
        <v>901</v>
      </c>
      <c r="G113" s="99">
        <v>4</v>
      </c>
      <c r="H113" s="102" t="b">
        <v>0</v>
      </c>
      <c r="I113" s="105">
        <v>42736</v>
      </c>
      <c r="J113" s="102">
        <v>1</v>
      </c>
      <c r="K113" s="102">
        <v>1</v>
      </c>
      <c r="L113" s="102" t="b">
        <v>0</v>
      </c>
      <c r="M113" s="105">
        <v>42736</v>
      </c>
      <c r="N113" s="102">
        <v>1</v>
      </c>
      <c r="O113" s="102" t="s">
        <v>1157</v>
      </c>
      <c r="P113" s="102" t="s">
        <v>1158</v>
      </c>
      <c r="Q113" s="102" t="s">
        <v>1159</v>
      </c>
      <c r="R113" s="102" t="s">
        <v>1160</v>
      </c>
      <c r="S113" s="102">
        <v>0</v>
      </c>
      <c r="T113" s="99" t="s">
        <v>17</v>
      </c>
      <c r="U113" s="99" t="s">
        <v>700</v>
      </c>
    </row>
    <row r="114" ht="20.4" spans="1:21">
      <c r="A114" s="97">
        <v>113</v>
      </c>
      <c r="B114" s="98">
        <v>45539</v>
      </c>
      <c r="C114" s="99" t="s">
        <v>87</v>
      </c>
      <c r="D114" s="99">
        <v>3</v>
      </c>
      <c r="E114" s="100" t="s">
        <v>411</v>
      </c>
      <c r="F114" s="97" t="s">
        <v>851</v>
      </c>
      <c r="G114" s="99">
        <v>19</v>
      </c>
      <c r="H114" s="102" t="b">
        <v>0</v>
      </c>
      <c r="I114" s="105">
        <v>42736</v>
      </c>
      <c r="J114" s="102">
        <v>1</v>
      </c>
      <c r="K114" s="102">
        <v>1</v>
      </c>
      <c r="L114" s="102" t="b">
        <v>0</v>
      </c>
      <c r="M114" s="105">
        <v>42736</v>
      </c>
      <c r="N114" s="102">
        <v>1</v>
      </c>
      <c r="O114" s="102" t="s">
        <v>1157</v>
      </c>
      <c r="P114" s="102" t="s">
        <v>1158</v>
      </c>
      <c r="Q114" s="102" t="s">
        <v>1159</v>
      </c>
      <c r="R114" s="102" t="s">
        <v>1160</v>
      </c>
      <c r="S114" s="102">
        <v>0</v>
      </c>
      <c r="T114" s="99" t="s">
        <v>17</v>
      </c>
      <c r="U114" s="99" t="s">
        <v>701</v>
      </c>
    </row>
    <row r="115" ht="20.4" spans="1:21">
      <c r="A115" s="97">
        <v>114</v>
      </c>
      <c r="B115" s="98">
        <v>45539</v>
      </c>
      <c r="C115" s="99" t="s">
        <v>87</v>
      </c>
      <c r="D115" s="99">
        <v>3</v>
      </c>
      <c r="E115" s="100" t="s">
        <v>767</v>
      </c>
      <c r="F115" s="97" t="s">
        <v>832</v>
      </c>
      <c r="G115" s="99">
        <v>7</v>
      </c>
      <c r="H115" s="102" t="b">
        <v>0</v>
      </c>
      <c r="I115" s="105">
        <v>42736</v>
      </c>
      <c r="J115" s="102">
        <v>1</v>
      </c>
      <c r="K115" s="102">
        <v>1</v>
      </c>
      <c r="L115" s="102" t="b">
        <v>0</v>
      </c>
      <c r="M115" s="105">
        <v>42736</v>
      </c>
      <c r="N115" s="102">
        <v>1</v>
      </c>
      <c r="O115" s="102" t="s">
        <v>1157</v>
      </c>
      <c r="P115" s="102" t="s">
        <v>1158</v>
      </c>
      <c r="Q115" s="102" t="s">
        <v>1159</v>
      </c>
      <c r="R115" s="102" t="s">
        <v>1160</v>
      </c>
      <c r="S115" s="102">
        <v>0</v>
      </c>
      <c r="T115" s="99" t="s">
        <v>17</v>
      </c>
      <c r="U115" s="99" t="s">
        <v>731</v>
      </c>
    </row>
    <row r="116" ht="20.4" spans="1:21">
      <c r="A116" s="97">
        <v>115</v>
      </c>
      <c r="B116" s="98">
        <v>45539</v>
      </c>
      <c r="C116" s="99" t="s">
        <v>87</v>
      </c>
      <c r="D116" s="99">
        <v>3</v>
      </c>
      <c r="E116" s="100" t="s">
        <v>413</v>
      </c>
      <c r="F116" s="101" t="s">
        <v>827</v>
      </c>
      <c r="G116" s="99">
        <v>22</v>
      </c>
      <c r="H116" s="102" t="b">
        <v>0</v>
      </c>
      <c r="I116" s="105">
        <v>42736</v>
      </c>
      <c r="J116" s="102">
        <v>1</v>
      </c>
      <c r="K116" s="102">
        <v>1</v>
      </c>
      <c r="L116" s="102" t="b">
        <v>0</v>
      </c>
      <c r="M116" s="105">
        <v>42736</v>
      </c>
      <c r="N116" s="102">
        <v>1</v>
      </c>
      <c r="O116" s="102" t="s">
        <v>1157</v>
      </c>
      <c r="P116" s="102" t="s">
        <v>1158</v>
      </c>
      <c r="Q116" s="102" t="s">
        <v>1159</v>
      </c>
      <c r="R116" s="102" t="s">
        <v>1160</v>
      </c>
      <c r="S116" s="102">
        <v>0</v>
      </c>
      <c r="T116" s="99" t="s">
        <v>17</v>
      </c>
      <c r="U116" s="99" t="s">
        <v>701</v>
      </c>
    </row>
    <row r="117" ht="20.4" spans="1:21">
      <c r="A117" s="97">
        <v>116</v>
      </c>
      <c r="B117" s="98">
        <v>45539</v>
      </c>
      <c r="C117" s="99" t="s">
        <v>87</v>
      </c>
      <c r="D117" s="99">
        <v>3</v>
      </c>
      <c r="E117" s="100" t="s">
        <v>768</v>
      </c>
      <c r="F117" s="97" t="s">
        <v>893</v>
      </c>
      <c r="G117" s="99">
        <v>7</v>
      </c>
      <c r="H117" s="102" t="b">
        <v>0</v>
      </c>
      <c r="I117" s="105">
        <v>42736</v>
      </c>
      <c r="J117" s="102">
        <v>1</v>
      </c>
      <c r="K117" s="102">
        <v>1</v>
      </c>
      <c r="L117" s="102" t="b">
        <v>0</v>
      </c>
      <c r="M117" s="105">
        <v>42736</v>
      </c>
      <c r="N117" s="102">
        <v>1</v>
      </c>
      <c r="O117" s="102" t="s">
        <v>1157</v>
      </c>
      <c r="P117" s="102" t="s">
        <v>1158</v>
      </c>
      <c r="Q117" s="102" t="s">
        <v>1159</v>
      </c>
      <c r="R117" s="102" t="s">
        <v>1160</v>
      </c>
      <c r="S117" s="102">
        <v>0</v>
      </c>
      <c r="T117" s="99" t="s">
        <v>17</v>
      </c>
      <c r="U117" s="99" t="s">
        <v>700</v>
      </c>
    </row>
    <row r="118" ht="20.4" spans="1:21">
      <c r="A118" s="97">
        <v>117</v>
      </c>
      <c r="B118" s="98">
        <v>45539</v>
      </c>
      <c r="C118" s="99" t="s">
        <v>87</v>
      </c>
      <c r="D118" s="99">
        <v>3</v>
      </c>
      <c r="E118" s="100" t="s">
        <v>418</v>
      </c>
      <c r="F118" s="101" t="s">
        <v>882</v>
      </c>
      <c r="G118" s="99">
        <v>327</v>
      </c>
      <c r="H118" s="102" t="b">
        <v>0</v>
      </c>
      <c r="I118" s="105">
        <v>42736</v>
      </c>
      <c r="J118" s="102">
        <v>1</v>
      </c>
      <c r="K118" s="102">
        <v>1</v>
      </c>
      <c r="L118" s="102" t="b">
        <v>0</v>
      </c>
      <c r="M118" s="105">
        <v>42736</v>
      </c>
      <c r="N118" s="102">
        <v>1</v>
      </c>
      <c r="O118" s="102" t="s">
        <v>1157</v>
      </c>
      <c r="P118" s="102" t="s">
        <v>1158</v>
      </c>
      <c r="Q118" s="102" t="s">
        <v>1159</v>
      </c>
      <c r="R118" s="102" t="s">
        <v>1160</v>
      </c>
      <c r="S118" s="102">
        <v>0</v>
      </c>
      <c r="T118" s="99" t="s">
        <v>17</v>
      </c>
      <c r="U118" s="99" t="s">
        <v>701</v>
      </c>
    </row>
    <row r="119" ht="20.4" spans="1:21">
      <c r="A119" s="97">
        <v>118</v>
      </c>
      <c r="B119" s="98">
        <v>45539</v>
      </c>
      <c r="C119" s="99" t="s">
        <v>87</v>
      </c>
      <c r="D119" s="99">
        <v>3</v>
      </c>
      <c r="E119" s="100" t="s">
        <v>769</v>
      </c>
      <c r="F119" s="101" t="s">
        <v>849</v>
      </c>
      <c r="G119" s="99">
        <v>17</v>
      </c>
      <c r="H119" s="102" t="b">
        <v>0</v>
      </c>
      <c r="I119" s="105">
        <v>42736</v>
      </c>
      <c r="J119" s="102">
        <v>1</v>
      </c>
      <c r="K119" s="102">
        <v>1</v>
      </c>
      <c r="L119" s="102" t="b">
        <v>0</v>
      </c>
      <c r="M119" s="105">
        <v>42736</v>
      </c>
      <c r="N119" s="102">
        <v>1</v>
      </c>
      <c r="O119" s="102" t="s">
        <v>1157</v>
      </c>
      <c r="P119" s="102" t="s">
        <v>1158</v>
      </c>
      <c r="Q119" s="102" t="s">
        <v>1159</v>
      </c>
      <c r="R119" s="102" t="s">
        <v>1160</v>
      </c>
      <c r="S119" s="102">
        <v>0</v>
      </c>
      <c r="T119" s="99" t="s">
        <v>711</v>
      </c>
      <c r="U119" s="99" t="s">
        <v>701</v>
      </c>
    </row>
    <row r="120" ht="20.4" spans="1:21">
      <c r="A120" s="97">
        <v>119</v>
      </c>
      <c r="B120" s="98">
        <v>45539</v>
      </c>
      <c r="C120" s="99" t="s">
        <v>87</v>
      </c>
      <c r="D120" s="99">
        <v>3</v>
      </c>
      <c r="E120" s="100" t="s">
        <v>422</v>
      </c>
      <c r="F120" s="101" t="s">
        <v>894</v>
      </c>
      <c r="G120" s="99">
        <v>46</v>
      </c>
      <c r="H120" s="102" t="b">
        <v>0</v>
      </c>
      <c r="I120" s="105">
        <v>42736</v>
      </c>
      <c r="J120" s="102">
        <v>1</v>
      </c>
      <c r="K120" s="102">
        <v>1</v>
      </c>
      <c r="L120" s="102" t="b">
        <v>0</v>
      </c>
      <c r="M120" s="105">
        <v>42736</v>
      </c>
      <c r="N120" s="102">
        <v>1</v>
      </c>
      <c r="O120" s="102" t="s">
        <v>1157</v>
      </c>
      <c r="P120" s="102" t="s">
        <v>1158</v>
      </c>
      <c r="Q120" s="102" t="s">
        <v>1159</v>
      </c>
      <c r="R120" s="102" t="s">
        <v>1160</v>
      </c>
      <c r="S120" s="102">
        <v>0</v>
      </c>
      <c r="T120" s="99" t="s">
        <v>17</v>
      </c>
      <c r="U120" s="99" t="s">
        <v>701</v>
      </c>
    </row>
    <row r="121" ht="20.4" spans="1:21">
      <c r="A121" s="97">
        <v>120</v>
      </c>
      <c r="B121" s="98">
        <v>45539</v>
      </c>
      <c r="C121" s="99" t="s">
        <v>87</v>
      </c>
      <c r="D121" s="99">
        <v>3</v>
      </c>
      <c r="E121" s="100" t="s">
        <v>770</v>
      </c>
      <c r="F121" s="101" t="s">
        <v>902</v>
      </c>
      <c r="G121" s="99">
        <v>13</v>
      </c>
      <c r="H121" s="102" t="b">
        <v>0</v>
      </c>
      <c r="I121" s="105">
        <v>42736</v>
      </c>
      <c r="J121" s="102">
        <v>1</v>
      </c>
      <c r="K121" s="102">
        <v>1</v>
      </c>
      <c r="L121" s="102" t="b">
        <v>0</v>
      </c>
      <c r="M121" s="105">
        <v>42736</v>
      </c>
      <c r="N121" s="102">
        <v>1</v>
      </c>
      <c r="O121" s="102" t="s">
        <v>1157</v>
      </c>
      <c r="P121" s="102" t="s">
        <v>1158</v>
      </c>
      <c r="Q121" s="102" t="s">
        <v>1159</v>
      </c>
      <c r="R121" s="102" t="s">
        <v>1160</v>
      </c>
      <c r="S121" s="102">
        <v>0</v>
      </c>
      <c r="T121" s="99" t="s">
        <v>17</v>
      </c>
      <c r="U121" s="99" t="s">
        <v>700</v>
      </c>
    </row>
    <row r="122" ht="20.4" spans="1:21">
      <c r="A122" s="97">
        <v>121</v>
      </c>
      <c r="B122" s="98">
        <v>45539</v>
      </c>
      <c r="C122" s="99" t="s">
        <v>87</v>
      </c>
      <c r="D122" s="99">
        <v>3</v>
      </c>
      <c r="E122" s="100" t="s">
        <v>427</v>
      </c>
      <c r="F122" s="101" t="s">
        <v>856</v>
      </c>
      <c r="G122" s="99">
        <v>211</v>
      </c>
      <c r="H122" s="102" t="b">
        <v>0</v>
      </c>
      <c r="I122" s="105">
        <v>42736</v>
      </c>
      <c r="J122" s="102">
        <v>1</v>
      </c>
      <c r="K122" s="102">
        <v>1</v>
      </c>
      <c r="L122" s="102" t="b">
        <v>0</v>
      </c>
      <c r="M122" s="105">
        <v>42736</v>
      </c>
      <c r="N122" s="102">
        <v>1</v>
      </c>
      <c r="O122" s="102" t="s">
        <v>1157</v>
      </c>
      <c r="P122" s="102" t="s">
        <v>1158</v>
      </c>
      <c r="Q122" s="102" t="s">
        <v>1159</v>
      </c>
      <c r="R122" s="102" t="s">
        <v>1160</v>
      </c>
      <c r="S122" s="102">
        <v>0</v>
      </c>
      <c r="T122" s="99" t="s">
        <v>17</v>
      </c>
      <c r="U122" s="99" t="s">
        <v>701</v>
      </c>
    </row>
    <row r="123" ht="20.4" spans="1:21">
      <c r="A123" s="97">
        <v>122</v>
      </c>
      <c r="B123" s="98">
        <v>45540</v>
      </c>
      <c r="C123" s="99" t="s">
        <v>11</v>
      </c>
      <c r="D123" s="99">
        <v>2</v>
      </c>
      <c r="E123" s="100" t="s">
        <v>429</v>
      </c>
      <c r="F123" s="97" t="s">
        <v>859</v>
      </c>
      <c r="G123" s="99">
        <v>12</v>
      </c>
      <c r="H123" s="102" t="b">
        <v>0</v>
      </c>
      <c r="I123" s="105">
        <v>42736</v>
      </c>
      <c r="J123" s="102">
        <v>1</v>
      </c>
      <c r="K123" s="102">
        <v>1</v>
      </c>
      <c r="L123" s="102" t="b">
        <v>0</v>
      </c>
      <c r="M123" s="105">
        <v>42736</v>
      </c>
      <c r="N123" s="102">
        <v>1</v>
      </c>
      <c r="O123" s="102" t="s">
        <v>1157</v>
      </c>
      <c r="P123" s="102" t="s">
        <v>1158</v>
      </c>
      <c r="Q123" s="102" t="s">
        <v>1159</v>
      </c>
      <c r="R123" s="102" t="s">
        <v>1160</v>
      </c>
      <c r="S123" s="102">
        <v>0</v>
      </c>
      <c r="T123" s="99" t="s">
        <v>17</v>
      </c>
      <c r="U123" s="99" t="s">
        <v>701</v>
      </c>
    </row>
    <row r="124" ht="20.4" spans="1:21">
      <c r="A124" s="97">
        <v>123</v>
      </c>
      <c r="B124" s="98">
        <v>45540</v>
      </c>
      <c r="C124" s="99" t="s">
        <v>31</v>
      </c>
      <c r="D124" s="99">
        <v>3</v>
      </c>
      <c r="E124" s="100" t="s">
        <v>432</v>
      </c>
      <c r="F124" s="101" t="s">
        <v>897</v>
      </c>
      <c r="G124" s="99">
        <v>55</v>
      </c>
      <c r="H124" s="102" t="b">
        <v>0</v>
      </c>
      <c r="I124" s="105">
        <v>42736</v>
      </c>
      <c r="J124" s="102">
        <v>1</v>
      </c>
      <c r="K124" s="102">
        <v>1</v>
      </c>
      <c r="L124" s="102" t="b">
        <v>0</v>
      </c>
      <c r="M124" s="105">
        <v>42736</v>
      </c>
      <c r="N124" s="102">
        <v>1</v>
      </c>
      <c r="O124" s="102" t="s">
        <v>1157</v>
      </c>
      <c r="P124" s="102" t="s">
        <v>1158</v>
      </c>
      <c r="Q124" s="102" t="s">
        <v>1159</v>
      </c>
      <c r="R124" s="102" t="s">
        <v>1160</v>
      </c>
      <c r="S124" s="102">
        <v>0</v>
      </c>
      <c r="T124" s="99" t="s">
        <v>17</v>
      </c>
      <c r="U124" s="99" t="s">
        <v>701</v>
      </c>
    </row>
    <row r="125" ht="40.8" spans="1:21">
      <c r="A125" s="97">
        <v>124</v>
      </c>
      <c r="B125" s="98">
        <v>45540</v>
      </c>
      <c r="C125" s="99" t="s">
        <v>31</v>
      </c>
      <c r="D125" s="99">
        <v>3</v>
      </c>
      <c r="E125" s="100" t="s">
        <v>771</v>
      </c>
      <c r="F125" s="101" t="s">
        <v>865</v>
      </c>
      <c r="G125" s="99">
        <v>5</v>
      </c>
      <c r="H125" s="102" t="b">
        <v>0</v>
      </c>
      <c r="I125" s="105">
        <v>42736</v>
      </c>
      <c r="J125" s="102">
        <v>1</v>
      </c>
      <c r="K125" s="102">
        <v>1</v>
      </c>
      <c r="L125" s="102" t="b">
        <v>0</v>
      </c>
      <c r="M125" s="105">
        <v>42736</v>
      </c>
      <c r="N125" s="102">
        <v>1</v>
      </c>
      <c r="O125" s="102" t="s">
        <v>1157</v>
      </c>
      <c r="P125" s="102" t="s">
        <v>1158</v>
      </c>
      <c r="Q125" s="102" t="s">
        <v>1159</v>
      </c>
      <c r="R125" s="102" t="s">
        <v>1160</v>
      </c>
      <c r="S125" s="102">
        <v>0</v>
      </c>
      <c r="T125" s="99" t="s">
        <v>17</v>
      </c>
      <c r="U125" s="99" t="s">
        <v>700</v>
      </c>
    </row>
    <row r="126" ht="20.4" spans="1:21">
      <c r="A126" s="97">
        <v>125</v>
      </c>
      <c r="B126" s="98">
        <v>45540</v>
      </c>
      <c r="C126" s="99" t="s">
        <v>31</v>
      </c>
      <c r="D126" s="99">
        <v>3</v>
      </c>
      <c r="E126" s="100" t="s">
        <v>436</v>
      </c>
      <c r="F126" s="101" t="s">
        <v>885</v>
      </c>
      <c r="G126" s="99">
        <v>35</v>
      </c>
      <c r="H126" s="102" t="b">
        <v>0</v>
      </c>
      <c r="I126" s="105">
        <v>42736</v>
      </c>
      <c r="J126" s="102">
        <v>1</v>
      </c>
      <c r="K126" s="102">
        <v>1</v>
      </c>
      <c r="L126" s="102" t="b">
        <v>0</v>
      </c>
      <c r="M126" s="105">
        <v>42736</v>
      </c>
      <c r="N126" s="102">
        <v>1</v>
      </c>
      <c r="O126" s="102" t="s">
        <v>1157</v>
      </c>
      <c r="P126" s="102" t="s">
        <v>1158</v>
      </c>
      <c r="Q126" s="102" t="s">
        <v>1159</v>
      </c>
      <c r="R126" s="102" t="s">
        <v>1160</v>
      </c>
      <c r="S126" s="102">
        <v>0</v>
      </c>
      <c r="T126" s="99" t="s">
        <v>17</v>
      </c>
      <c r="U126" s="99" t="s">
        <v>701</v>
      </c>
    </row>
    <row r="127" ht="20.4" spans="1:21">
      <c r="A127" s="97">
        <v>126</v>
      </c>
      <c r="B127" s="98">
        <v>45540</v>
      </c>
      <c r="C127" s="99" t="s">
        <v>31</v>
      </c>
      <c r="D127" s="99">
        <v>3</v>
      </c>
      <c r="E127" s="100" t="s">
        <v>438</v>
      </c>
      <c r="F127" s="101" t="s">
        <v>903</v>
      </c>
      <c r="G127" s="99">
        <v>25</v>
      </c>
      <c r="H127" s="102" t="b">
        <v>0</v>
      </c>
      <c r="I127" s="105">
        <v>42736</v>
      </c>
      <c r="J127" s="102">
        <v>1</v>
      </c>
      <c r="K127" s="102">
        <v>1</v>
      </c>
      <c r="L127" s="102" t="b">
        <v>0</v>
      </c>
      <c r="M127" s="105">
        <v>42736</v>
      </c>
      <c r="N127" s="102">
        <v>1</v>
      </c>
      <c r="O127" s="102" t="s">
        <v>1157</v>
      </c>
      <c r="P127" s="102" t="s">
        <v>1158</v>
      </c>
      <c r="Q127" s="102" t="s">
        <v>1159</v>
      </c>
      <c r="R127" s="102" t="s">
        <v>1160</v>
      </c>
      <c r="S127" s="102">
        <v>0</v>
      </c>
      <c r="T127" s="99" t="s">
        <v>17</v>
      </c>
      <c r="U127" s="99" t="s">
        <v>701</v>
      </c>
    </row>
    <row r="128" ht="20.4" spans="1:21">
      <c r="A128" s="97">
        <v>127</v>
      </c>
      <c r="B128" s="98">
        <v>45540</v>
      </c>
      <c r="C128" s="99" t="s">
        <v>31</v>
      </c>
      <c r="D128" s="99">
        <v>3</v>
      </c>
      <c r="E128" s="100" t="s">
        <v>772</v>
      </c>
      <c r="F128" s="97" t="s">
        <v>860</v>
      </c>
      <c r="G128" s="99">
        <v>18</v>
      </c>
      <c r="H128" s="102" t="b">
        <v>0</v>
      </c>
      <c r="I128" s="105">
        <v>42736</v>
      </c>
      <c r="J128" s="102">
        <v>1</v>
      </c>
      <c r="K128" s="102">
        <v>1</v>
      </c>
      <c r="L128" s="102" t="b">
        <v>0</v>
      </c>
      <c r="M128" s="105">
        <v>42736</v>
      </c>
      <c r="N128" s="102">
        <v>1</v>
      </c>
      <c r="O128" s="102" t="s">
        <v>1157</v>
      </c>
      <c r="P128" s="102" t="s">
        <v>1158</v>
      </c>
      <c r="Q128" s="102" t="s">
        <v>1159</v>
      </c>
      <c r="R128" s="102" t="s">
        <v>1160</v>
      </c>
      <c r="S128" s="102">
        <v>0</v>
      </c>
      <c r="T128" s="99" t="s">
        <v>17</v>
      </c>
      <c r="U128" s="99" t="s">
        <v>700</v>
      </c>
    </row>
    <row r="129" ht="20.4" spans="1:21">
      <c r="A129" s="97">
        <v>128</v>
      </c>
      <c r="B129" s="98">
        <v>45540</v>
      </c>
      <c r="C129" s="99" t="s">
        <v>31</v>
      </c>
      <c r="D129" s="99">
        <v>3</v>
      </c>
      <c r="E129" s="100" t="s">
        <v>444</v>
      </c>
      <c r="F129" s="101" t="s">
        <v>904</v>
      </c>
      <c r="G129" s="99">
        <v>94</v>
      </c>
      <c r="H129" s="102" t="b">
        <v>0</v>
      </c>
      <c r="I129" s="105">
        <v>42736</v>
      </c>
      <c r="J129" s="102">
        <v>1</v>
      </c>
      <c r="K129" s="102">
        <v>1</v>
      </c>
      <c r="L129" s="102" t="b">
        <v>0</v>
      </c>
      <c r="M129" s="105">
        <v>42736</v>
      </c>
      <c r="N129" s="102">
        <v>1</v>
      </c>
      <c r="O129" s="102" t="s">
        <v>1157</v>
      </c>
      <c r="P129" s="102" t="s">
        <v>1158</v>
      </c>
      <c r="Q129" s="102" t="s">
        <v>1159</v>
      </c>
      <c r="R129" s="102" t="s">
        <v>1160</v>
      </c>
      <c r="S129" s="102">
        <v>0</v>
      </c>
      <c r="T129" s="99" t="s">
        <v>17</v>
      </c>
      <c r="U129" s="99" t="s">
        <v>701</v>
      </c>
    </row>
    <row r="130" ht="20.4" spans="1:21">
      <c r="A130" s="97">
        <v>129</v>
      </c>
      <c r="B130" s="98">
        <v>45540</v>
      </c>
      <c r="C130" s="99" t="s">
        <v>31</v>
      </c>
      <c r="D130" s="99">
        <v>3</v>
      </c>
      <c r="E130" s="100" t="s">
        <v>448</v>
      </c>
      <c r="F130" s="97" t="s">
        <v>905</v>
      </c>
      <c r="G130" s="99">
        <v>119</v>
      </c>
      <c r="H130" s="102" t="b">
        <v>0</v>
      </c>
      <c r="I130" s="105">
        <v>42736</v>
      </c>
      <c r="J130" s="102">
        <v>1</v>
      </c>
      <c r="K130" s="102">
        <v>1</v>
      </c>
      <c r="L130" s="102" t="b">
        <v>0</v>
      </c>
      <c r="M130" s="105">
        <v>42736</v>
      </c>
      <c r="N130" s="102">
        <v>1</v>
      </c>
      <c r="O130" s="102" t="s">
        <v>1157</v>
      </c>
      <c r="P130" s="102" t="s">
        <v>1158</v>
      </c>
      <c r="Q130" s="102" t="s">
        <v>1159</v>
      </c>
      <c r="R130" s="102" t="s">
        <v>1160</v>
      </c>
      <c r="S130" s="102">
        <v>0</v>
      </c>
      <c r="T130" s="99" t="s">
        <v>17</v>
      </c>
      <c r="U130" s="99" t="s">
        <v>701</v>
      </c>
    </row>
    <row r="131" ht="20.4" spans="1:21">
      <c r="A131" s="97">
        <v>130</v>
      </c>
      <c r="B131" s="98">
        <v>45540</v>
      </c>
      <c r="C131" s="99" t="s">
        <v>31</v>
      </c>
      <c r="D131" s="99">
        <v>3</v>
      </c>
      <c r="E131" s="100" t="s">
        <v>451</v>
      </c>
      <c r="F131" s="97" t="s">
        <v>906</v>
      </c>
      <c r="G131" s="99">
        <v>91</v>
      </c>
      <c r="H131" s="102" t="b">
        <v>0</v>
      </c>
      <c r="I131" s="105">
        <v>42736</v>
      </c>
      <c r="J131" s="102">
        <v>1</v>
      </c>
      <c r="K131" s="102">
        <v>1</v>
      </c>
      <c r="L131" s="102" t="b">
        <v>0</v>
      </c>
      <c r="M131" s="105">
        <v>42736</v>
      </c>
      <c r="N131" s="102">
        <v>1</v>
      </c>
      <c r="O131" s="102" t="s">
        <v>1157</v>
      </c>
      <c r="P131" s="102" t="s">
        <v>1158</v>
      </c>
      <c r="Q131" s="102" t="s">
        <v>1159</v>
      </c>
      <c r="R131" s="102" t="s">
        <v>1160</v>
      </c>
      <c r="S131" s="102">
        <v>0</v>
      </c>
      <c r="T131" s="99" t="s">
        <v>17</v>
      </c>
      <c r="U131" s="99" t="s">
        <v>701</v>
      </c>
    </row>
    <row r="132" ht="20.4" spans="1:21">
      <c r="A132" s="97">
        <v>131</v>
      </c>
      <c r="B132" s="98">
        <v>45540</v>
      </c>
      <c r="C132" s="99" t="s">
        <v>31</v>
      </c>
      <c r="D132" s="99">
        <v>3</v>
      </c>
      <c r="E132" s="100" t="s">
        <v>455</v>
      </c>
      <c r="F132" s="101" t="s">
        <v>907</v>
      </c>
      <c r="G132" s="99">
        <v>280</v>
      </c>
      <c r="H132" s="102" t="b">
        <v>0</v>
      </c>
      <c r="I132" s="105">
        <v>42736</v>
      </c>
      <c r="J132" s="102">
        <v>1</v>
      </c>
      <c r="K132" s="102">
        <v>1</v>
      </c>
      <c r="L132" s="102" t="b">
        <v>0</v>
      </c>
      <c r="M132" s="105">
        <v>42736</v>
      </c>
      <c r="N132" s="102">
        <v>1</v>
      </c>
      <c r="O132" s="102" t="s">
        <v>1157</v>
      </c>
      <c r="P132" s="102" t="s">
        <v>1158</v>
      </c>
      <c r="Q132" s="102" t="s">
        <v>1159</v>
      </c>
      <c r="R132" s="102" t="s">
        <v>1160</v>
      </c>
      <c r="S132" s="102">
        <v>0</v>
      </c>
      <c r="T132" s="99" t="s">
        <v>17</v>
      </c>
      <c r="U132" s="99" t="s">
        <v>701</v>
      </c>
    </row>
    <row r="133" ht="20.4" spans="1:21">
      <c r="A133" s="97">
        <v>132</v>
      </c>
      <c r="B133" s="98">
        <v>45540</v>
      </c>
      <c r="C133" s="99" t="s">
        <v>31</v>
      </c>
      <c r="D133" s="99">
        <v>3</v>
      </c>
      <c r="E133" s="100" t="s">
        <v>773</v>
      </c>
      <c r="F133" s="97" t="s">
        <v>908</v>
      </c>
      <c r="G133" s="99">
        <v>51</v>
      </c>
      <c r="H133" s="102" t="b">
        <v>0</v>
      </c>
      <c r="I133" s="105">
        <v>42736</v>
      </c>
      <c r="J133" s="102">
        <v>1</v>
      </c>
      <c r="K133" s="102">
        <v>1</v>
      </c>
      <c r="L133" s="102" t="b">
        <v>0</v>
      </c>
      <c r="M133" s="105">
        <v>42736</v>
      </c>
      <c r="N133" s="102">
        <v>1</v>
      </c>
      <c r="O133" s="102" t="s">
        <v>1157</v>
      </c>
      <c r="P133" s="102" t="s">
        <v>1158</v>
      </c>
      <c r="Q133" s="102" t="s">
        <v>1159</v>
      </c>
      <c r="R133" s="102" t="s">
        <v>1160</v>
      </c>
      <c r="S133" s="102">
        <v>0</v>
      </c>
      <c r="T133" s="99" t="s">
        <v>711</v>
      </c>
      <c r="U133" s="99" t="s">
        <v>701</v>
      </c>
    </row>
    <row r="134" ht="20.4" spans="1:21">
      <c r="A134" s="97">
        <v>133</v>
      </c>
      <c r="B134" s="98">
        <v>45540</v>
      </c>
      <c r="C134" s="99" t="s">
        <v>31</v>
      </c>
      <c r="D134" s="99">
        <v>3</v>
      </c>
      <c r="E134" s="100" t="s">
        <v>774</v>
      </c>
      <c r="F134" s="101" t="s">
        <v>889</v>
      </c>
      <c r="G134" s="99">
        <v>55</v>
      </c>
      <c r="H134" s="102" t="b">
        <v>0</v>
      </c>
      <c r="I134" s="105">
        <v>42736</v>
      </c>
      <c r="J134" s="102">
        <v>1</v>
      </c>
      <c r="K134" s="102">
        <v>1</v>
      </c>
      <c r="L134" s="102" t="b">
        <v>0</v>
      </c>
      <c r="M134" s="105">
        <v>42736</v>
      </c>
      <c r="N134" s="102">
        <v>1</v>
      </c>
      <c r="O134" s="102" t="s">
        <v>1157</v>
      </c>
      <c r="P134" s="102" t="s">
        <v>1158</v>
      </c>
      <c r="Q134" s="102" t="s">
        <v>1159</v>
      </c>
      <c r="R134" s="102" t="s">
        <v>1160</v>
      </c>
      <c r="S134" s="102">
        <v>0</v>
      </c>
      <c r="T134" s="103" t="s">
        <v>17</v>
      </c>
      <c r="U134" s="99" t="s">
        <v>701</v>
      </c>
    </row>
    <row r="135" ht="20.4" spans="1:21">
      <c r="A135" s="97">
        <v>134</v>
      </c>
      <c r="B135" s="98">
        <v>45540</v>
      </c>
      <c r="C135" s="99" t="s">
        <v>31</v>
      </c>
      <c r="D135" s="99">
        <v>3</v>
      </c>
      <c r="E135" s="100" t="s">
        <v>775</v>
      </c>
      <c r="F135" s="101" t="s">
        <v>874</v>
      </c>
      <c r="G135" s="99">
        <v>53</v>
      </c>
      <c r="H135" s="102" t="b">
        <v>0</v>
      </c>
      <c r="I135" s="105">
        <v>42736</v>
      </c>
      <c r="J135" s="102">
        <v>1</v>
      </c>
      <c r="K135" s="102">
        <v>1</v>
      </c>
      <c r="L135" s="102" t="b">
        <v>0</v>
      </c>
      <c r="M135" s="105">
        <v>42736</v>
      </c>
      <c r="N135" s="102">
        <v>1</v>
      </c>
      <c r="O135" s="102" t="s">
        <v>1157</v>
      </c>
      <c r="P135" s="102" t="s">
        <v>1158</v>
      </c>
      <c r="Q135" s="102" t="s">
        <v>1159</v>
      </c>
      <c r="R135" s="102" t="s">
        <v>1160</v>
      </c>
      <c r="S135" s="102">
        <v>0</v>
      </c>
      <c r="T135" s="99" t="s">
        <v>17</v>
      </c>
      <c r="U135" s="99" t="s">
        <v>701</v>
      </c>
    </row>
    <row r="136" ht="20.4" spans="1:21">
      <c r="A136" s="97">
        <v>135</v>
      </c>
      <c r="B136" s="98">
        <v>45540</v>
      </c>
      <c r="C136" s="99" t="s">
        <v>80</v>
      </c>
      <c r="D136" s="99">
        <v>2</v>
      </c>
      <c r="E136" s="100" t="s">
        <v>776</v>
      </c>
      <c r="F136" s="101" t="s">
        <v>897</v>
      </c>
      <c r="G136" s="99">
        <v>55</v>
      </c>
      <c r="H136" s="102" t="b">
        <v>0</v>
      </c>
      <c r="I136" s="105">
        <v>42736</v>
      </c>
      <c r="J136" s="102">
        <v>1</v>
      </c>
      <c r="K136" s="102">
        <v>1</v>
      </c>
      <c r="L136" s="102" t="b">
        <v>0</v>
      </c>
      <c r="M136" s="105">
        <v>42736</v>
      </c>
      <c r="N136" s="102">
        <v>1</v>
      </c>
      <c r="O136" s="102" t="s">
        <v>1157</v>
      </c>
      <c r="P136" s="102" t="s">
        <v>1158</v>
      </c>
      <c r="Q136" s="102" t="s">
        <v>1159</v>
      </c>
      <c r="R136" s="102" t="s">
        <v>1160</v>
      </c>
      <c r="S136" s="102">
        <v>0</v>
      </c>
      <c r="T136" s="99" t="s">
        <v>17</v>
      </c>
      <c r="U136" s="99" t="s">
        <v>701</v>
      </c>
    </row>
    <row r="137" ht="20.4" spans="1:21">
      <c r="A137" s="97">
        <v>136</v>
      </c>
      <c r="B137" s="98">
        <v>45540</v>
      </c>
      <c r="C137" s="99" t="s">
        <v>80</v>
      </c>
      <c r="D137" s="99">
        <v>2</v>
      </c>
      <c r="E137" s="100" t="s">
        <v>470</v>
      </c>
      <c r="F137" s="101" t="s">
        <v>904</v>
      </c>
      <c r="G137" s="99">
        <v>5</v>
      </c>
      <c r="H137" s="102" t="b">
        <v>0</v>
      </c>
      <c r="I137" s="105">
        <v>42736</v>
      </c>
      <c r="J137" s="102">
        <v>1</v>
      </c>
      <c r="K137" s="102">
        <v>1</v>
      </c>
      <c r="L137" s="102" t="b">
        <v>0</v>
      </c>
      <c r="M137" s="105">
        <v>42736</v>
      </c>
      <c r="N137" s="102">
        <v>1</v>
      </c>
      <c r="O137" s="102" t="s">
        <v>1157</v>
      </c>
      <c r="P137" s="102" t="s">
        <v>1158</v>
      </c>
      <c r="Q137" s="102" t="s">
        <v>1159</v>
      </c>
      <c r="R137" s="102" t="s">
        <v>1160</v>
      </c>
      <c r="S137" s="102">
        <v>0</v>
      </c>
      <c r="T137" s="99" t="s">
        <v>17</v>
      </c>
      <c r="U137" s="99" t="s">
        <v>701</v>
      </c>
    </row>
    <row r="138" ht="20.4" spans="1:21">
      <c r="A138" s="97">
        <v>137</v>
      </c>
      <c r="B138" s="98">
        <v>45540</v>
      </c>
      <c r="C138" s="99" t="s">
        <v>80</v>
      </c>
      <c r="D138" s="99">
        <v>2</v>
      </c>
      <c r="E138" s="100" t="s">
        <v>777</v>
      </c>
      <c r="F138" s="101" t="s">
        <v>858</v>
      </c>
      <c r="G138" s="99">
        <v>67</v>
      </c>
      <c r="H138" s="102" t="b">
        <v>0</v>
      </c>
      <c r="I138" s="105">
        <v>42736</v>
      </c>
      <c r="J138" s="102">
        <v>1</v>
      </c>
      <c r="K138" s="102">
        <v>1</v>
      </c>
      <c r="L138" s="102" t="b">
        <v>0</v>
      </c>
      <c r="M138" s="105">
        <v>42736</v>
      </c>
      <c r="N138" s="102">
        <v>1</v>
      </c>
      <c r="O138" s="102" t="s">
        <v>1157</v>
      </c>
      <c r="P138" s="102" t="s">
        <v>1158</v>
      </c>
      <c r="Q138" s="102" t="s">
        <v>1159</v>
      </c>
      <c r="R138" s="102" t="s">
        <v>1160</v>
      </c>
      <c r="S138" s="102">
        <v>0</v>
      </c>
      <c r="T138" s="99" t="s">
        <v>17</v>
      </c>
      <c r="U138" s="99" t="s">
        <v>701</v>
      </c>
    </row>
    <row r="139" ht="20.4" spans="1:21">
      <c r="A139" s="97">
        <v>138</v>
      </c>
      <c r="B139" s="98">
        <v>45540</v>
      </c>
      <c r="C139" s="99" t="s">
        <v>87</v>
      </c>
      <c r="D139" s="99">
        <v>3</v>
      </c>
      <c r="E139" s="100" t="s">
        <v>778</v>
      </c>
      <c r="F139" s="101" t="s">
        <v>909</v>
      </c>
      <c r="G139" s="99">
        <v>6</v>
      </c>
      <c r="H139" s="102" t="b">
        <v>0</v>
      </c>
      <c r="I139" s="105">
        <v>42736</v>
      </c>
      <c r="J139" s="102">
        <v>1</v>
      </c>
      <c r="K139" s="102">
        <v>1</v>
      </c>
      <c r="L139" s="102" t="b">
        <v>0</v>
      </c>
      <c r="M139" s="105">
        <v>42736</v>
      </c>
      <c r="N139" s="102">
        <v>1</v>
      </c>
      <c r="O139" s="102" t="s">
        <v>1157</v>
      </c>
      <c r="P139" s="102" t="s">
        <v>1158</v>
      </c>
      <c r="Q139" s="102" t="s">
        <v>1159</v>
      </c>
      <c r="R139" s="102" t="s">
        <v>1160</v>
      </c>
      <c r="S139" s="102">
        <v>0</v>
      </c>
      <c r="T139" s="99" t="s">
        <v>17</v>
      </c>
      <c r="U139" s="99" t="s">
        <v>700</v>
      </c>
    </row>
    <row r="140" ht="20.4" spans="1:21">
      <c r="A140" s="97">
        <v>139</v>
      </c>
      <c r="B140" s="98">
        <v>45540</v>
      </c>
      <c r="C140" s="99" t="s">
        <v>87</v>
      </c>
      <c r="D140" s="99">
        <v>3</v>
      </c>
      <c r="E140" s="100" t="s">
        <v>479</v>
      </c>
      <c r="F140" s="101" t="s">
        <v>880</v>
      </c>
      <c r="G140" s="99">
        <v>101</v>
      </c>
      <c r="H140" s="102" t="b">
        <v>0</v>
      </c>
      <c r="I140" s="105">
        <v>42736</v>
      </c>
      <c r="J140" s="102">
        <v>1</v>
      </c>
      <c r="K140" s="102">
        <v>1</v>
      </c>
      <c r="L140" s="102" t="b">
        <v>0</v>
      </c>
      <c r="M140" s="105">
        <v>42736</v>
      </c>
      <c r="N140" s="102">
        <v>1</v>
      </c>
      <c r="O140" s="102" t="s">
        <v>1157</v>
      </c>
      <c r="P140" s="102" t="s">
        <v>1158</v>
      </c>
      <c r="Q140" s="102" t="s">
        <v>1159</v>
      </c>
      <c r="R140" s="102" t="s">
        <v>1160</v>
      </c>
      <c r="S140" s="102">
        <v>0</v>
      </c>
      <c r="T140" s="99" t="s">
        <v>17</v>
      </c>
      <c r="U140" s="99" t="s">
        <v>701</v>
      </c>
    </row>
    <row r="141" ht="20.4" spans="1:21">
      <c r="A141" s="97">
        <v>140</v>
      </c>
      <c r="B141" s="98">
        <v>45540</v>
      </c>
      <c r="C141" s="99" t="s">
        <v>87</v>
      </c>
      <c r="D141" s="99">
        <v>3</v>
      </c>
      <c r="E141" s="100" t="s">
        <v>481</v>
      </c>
      <c r="F141" s="101" t="s">
        <v>910</v>
      </c>
      <c r="G141" s="99">
        <v>29</v>
      </c>
      <c r="H141" s="102" t="b">
        <v>0</v>
      </c>
      <c r="I141" s="105">
        <v>42736</v>
      </c>
      <c r="J141" s="102">
        <v>1</v>
      </c>
      <c r="K141" s="102">
        <v>1</v>
      </c>
      <c r="L141" s="102" t="b">
        <v>0</v>
      </c>
      <c r="M141" s="105">
        <v>42736</v>
      </c>
      <c r="N141" s="102">
        <v>1</v>
      </c>
      <c r="O141" s="102" t="s">
        <v>1157</v>
      </c>
      <c r="P141" s="102" t="s">
        <v>1158</v>
      </c>
      <c r="Q141" s="102" t="s">
        <v>1159</v>
      </c>
      <c r="R141" s="102" t="s">
        <v>1160</v>
      </c>
      <c r="S141" s="102">
        <v>0</v>
      </c>
      <c r="T141" s="99" t="s">
        <v>17</v>
      </c>
      <c r="U141" s="99" t="s">
        <v>701</v>
      </c>
    </row>
    <row r="142" ht="20.4" spans="1:21">
      <c r="A142" s="97">
        <v>141</v>
      </c>
      <c r="B142" s="98">
        <v>45540</v>
      </c>
      <c r="C142" s="99" t="s">
        <v>87</v>
      </c>
      <c r="D142" s="99">
        <v>3</v>
      </c>
      <c r="E142" s="100" t="s">
        <v>779</v>
      </c>
      <c r="F142" s="101" t="s">
        <v>898</v>
      </c>
      <c r="G142" s="99">
        <v>7</v>
      </c>
      <c r="H142" s="102" t="b">
        <v>0</v>
      </c>
      <c r="I142" s="105">
        <v>42736</v>
      </c>
      <c r="J142" s="102">
        <v>1</v>
      </c>
      <c r="K142" s="102">
        <v>1</v>
      </c>
      <c r="L142" s="102" t="b">
        <v>0</v>
      </c>
      <c r="M142" s="105">
        <v>42736</v>
      </c>
      <c r="N142" s="102">
        <v>1</v>
      </c>
      <c r="O142" s="102" t="s">
        <v>1157</v>
      </c>
      <c r="P142" s="102" t="s">
        <v>1158</v>
      </c>
      <c r="Q142" s="102" t="s">
        <v>1159</v>
      </c>
      <c r="R142" s="102" t="s">
        <v>1160</v>
      </c>
      <c r="S142" s="102">
        <v>0</v>
      </c>
      <c r="T142" s="99" t="s">
        <v>17</v>
      </c>
      <c r="U142" s="99" t="s">
        <v>700</v>
      </c>
    </row>
    <row r="143" ht="20.4" spans="1:21">
      <c r="A143" s="97">
        <v>142</v>
      </c>
      <c r="B143" s="98">
        <v>45540</v>
      </c>
      <c r="C143" s="99" t="s">
        <v>87</v>
      </c>
      <c r="D143" s="99">
        <v>3</v>
      </c>
      <c r="E143" s="100" t="s">
        <v>486</v>
      </c>
      <c r="F143" s="101" t="s">
        <v>903</v>
      </c>
      <c r="G143" s="99">
        <v>25</v>
      </c>
      <c r="H143" s="102" t="b">
        <v>0</v>
      </c>
      <c r="I143" s="105">
        <v>42736</v>
      </c>
      <c r="J143" s="102">
        <v>1</v>
      </c>
      <c r="K143" s="102">
        <v>1</v>
      </c>
      <c r="L143" s="102" t="b">
        <v>0</v>
      </c>
      <c r="M143" s="105">
        <v>42736</v>
      </c>
      <c r="N143" s="102">
        <v>1</v>
      </c>
      <c r="O143" s="102" t="s">
        <v>1157</v>
      </c>
      <c r="P143" s="102" t="s">
        <v>1158</v>
      </c>
      <c r="Q143" s="102" t="s">
        <v>1159</v>
      </c>
      <c r="R143" s="102" t="s">
        <v>1160</v>
      </c>
      <c r="S143" s="102">
        <v>0</v>
      </c>
      <c r="T143" s="99" t="s">
        <v>17</v>
      </c>
      <c r="U143" s="99" t="s">
        <v>701</v>
      </c>
    </row>
    <row r="144" ht="20.4" spans="1:21">
      <c r="A144" s="97">
        <v>143</v>
      </c>
      <c r="B144" s="98">
        <v>45540</v>
      </c>
      <c r="C144" s="99" t="s">
        <v>87</v>
      </c>
      <c r="D144" s="99">
        <v>3</v>
      </c>
      <c r="E144" s="100" t="s">
        <v>489</v>
      </c>
      <c r="F144" s="101" t="s">
        <v>880</v>
      </c>
      <c r="G144" s="99">
        <v>164</v>
      </c>
      <c r="H144" s="102" t="b">
        <v>0</v>
      </c>
      <c r="I144" s="105">
        <v>42736</v>
      </c>
      <c r="J144" s="102">
        <v>1</v>
      </c>
      <c r="K144" s="102">
        <v>1</v>
      </c>
      <c r="L144" s="102" t="b">
        <v>0</v>
      </c>
      <c r="M144" s="105">
        <v>42736</v>
      </c>
      <c r="N144" s="102">
        <v>1</v>
      </c>
      <c r="O144" s="102" t="s">
        <v>1157</v>
      </c>
      <c r="P144" s="102" t="s">
        <v>1158</v>
      </c>
      <c r="Q144" s="102" t="s">
        <v>1159</v>
      </c>
      <c r="R144" s="102" t="s">
        <v>1160</v>
      </c>
      <c r="S144" s="102">
        <v>0</v>
      </c>
      <c r="T144" s="99" t="s">
        <v>17</v>
      </c>
      <c r="U144" s="99" t="s">
        <v>701</v>
      </c>
    </row>
    <row r="145" ht="20.4" spans="1:21">
      <c r="A145" s="97">
        <v>144</v>
      </c>
      <c r="B145" s="98">
        <v>45540</v>
      </c>
      <c r="C145" s="99" t="s">
        <v>87</v>
      </c>
      <c r="D145" s="99">
        <v>3</v>
      </c>
      <c r="E145" s="100" t="s">
        <v>492</v>
      </c>
      <c r="F145" s="101" t="s">
        <v>911</v>
      </c>
      <c r="G145" s="99">
        <v>87</v>
      </c>
      <c r="H145" s="102" t="b">
        <v>0</v>
      </c>
      <c r="I145" s="105">
        <v>42736</v>
      </c>
      <c r="J145" s="102">
        <v>1</v>
      </c>
      <c r="K145" s="102">
        <v>1</v>
      </c>
      <c r="L145" s="102" t="b">
        <v>0</v>
      </c>
      <c r="M145" s="105">
        <v>42736</v>
      </c>
      <c r="N145" s="102">
        <v>1</v>
      </c>
      <c r="O145" s="102" t="s">
        <v>1157</v>
      </c>
      <c r="P145" s="102" t="s">
        <v>1158</v>
      </c>
      <c r="Q145" s="102" t="s">
        <v>1159</v>
      </c>
      <c r="R145" s="102" t="s">
        <v>1160</v>
      </c>
      <c r="S145" s="102">
        <v>0</v>
      </c>
      <c r="T145" s="99" t="s">
        <v>17</v>
      </c>
      <c r="U145" s="99" t="s">
        <v>701</v>
      </c>
    </row>
    <row r="146" ht="20.4" spans="1:21">
      <c r="A146" s="97">
        <v>145</v>
      </c>
      <c r="B146" s="98">
        <v>45540</v>
      </c>
      <c r="C146" s="99" t="s">
        <v>87</v>
      </c>
      <c r="D146" s="99">
        <v>3</v>
      </c>
      <c r="E146" s="100" t="s">
        <v>780</v>
      </c>
      <c r="F146" s="97" t="s">
        <v>912</v>
      </c>
      <c r="G146" s="99">
        <v>165</v>
      </c>
      <c r="H146" s="102" t="b">
        <v>0</v>
      </c>
      <c r="I146" s="105">
        <v>42736</v>
      </c>
      <c r="J146" s="102">
        <v>1</v>
      </c>
      <c r="K146" s="102">
        <v>1</v>
      </c>
      <c r="L146" s="102" t="b">
        <v>0</v>
      </c>
      <c r="M146" s="105">
        <v>42736</v>
      </c>
      <c r="N146" s="102">
        <v>1</v>
      </c>
      <c r="O146" s="102" t="s">
        <v>1157</v>
      </c>
      <c r="P146" s="102" t="s">
        <v>1158</v>
      </c>
      <c r="Q146" s="102" t="s">
        <v>1159</v>
      </c>
      <c r="R146" s="102" t="s">
        <v>1160</v>
      </c>
      <c r="S146" s="102">
        <v>0</v>
      </c>
      <c r="T146" s="99" t="s">
        <v>711</v>
      </c>
      <c r="U146" s="99" t="s">
        <v>701</v>
      </c>
    </row>
    <row r="147" ht="20.4" spans="1:21">
      <c r="A147" s="97">
        <v>146</v>
      </c>
      <c r="B147" s="98">
        <v>45540</v>
      </c>
      <c r="C147" s="99" t="s">
        <v>312</v>
      </c>
      <c r="D147" s="99">
        <v>4</v>
      </c>
      <c r="E147" s="100" t="s">
        <v>781</v>
      </c>
      <c r="F147" s="97" t="s">
        <v>913</v>
      </c>
      <c r="G147" s="99">
        <v>21</v>
      </c>
      <c r="H147" s="102" t="b">
        <v>0</v>
      </c>
      <c r="I147" s="105">
        <v>42736</v>
      </c>
      <c r="J147" s="102">
        <v>1</v>
      </c>
      <c r="K147" s="102">
        <v>1</v>
      </c>
      <c r="L147" s="102" t="b">
        <v>0</v>
      </c>
      <c r="M147" s="105">
        <v>42736</v>
      </c>
      <c r="N147" s="102">
        <v>1</v>
      </c>
      <c r="O147" s="102" t="s">
        <v>1157</v>
      </c>
      <c r="P147" s="102" t="s">
        <v>1158</v>
      </c>
      <c r="Q147" s="102" t="s">
        <v>1159</v>
      </c>
      <c r="R147" s="102" t="s">
        <v>1160</v>
      </c>
      <c r="S147" s="102">
        <v>0</v>
      </c>
      <c r="T147" s="99" t="s">
        <v>17</v>
      </c>
      <c r="U147" s="99" t="s">
        <v>701</v>
      </c>
    </row>
    <row r="148" ht="20.4" spans="1:21">
      <c r="A148" s="97">
        <v>147</v>
      </c>
      <c r="B148" s="98">
        <v>45540</v>
      </c>
      <c r="C148" s="99" t="s">
        <v>312</v>
      </c>
      <c r="D148" s="99">
        <v>4</v>
      </c>
      <c r="E148" s="100" t="s">
        <v>782</v>
      </c>
      <c r="F148" s="101" t="s">
        <v>889</v>
      </c>
      <c r="G148" s="99">
        <v>55</v>
      </c>
      <c r="H148" s="102" t="b">
        <v>0</v>
      </c>
      <c r="I148" s="105">
        <v>42736</v>
      </c>
      <c r="J148" s="102">
        <v>1</v>
      </c>
      <c r="K148" s="102">
        <v>1</v>
      </c>
      <c r="L148" s="102" t="b">
        <v>0</v>
      </c>
      <c r="M148" s="105">
        <v>42736</v>
      </c>
      <c r="N148" s="102">
        <v>1</v>
      </c>
      <c r="O148" s="102" t="s">
        <v>1157</v>
      </c>
      <c r="P148" s="102" t="s">
        <v>1158</v>
      </c>
      <c r="Q148" s="102" t="s">
        <v>1159</v>
      </c>
      <c r="R148" s="102" t="s">
        <v>1160</v>
      </c>
      <c r="S148" s="102">
        <v>0</v>
      </c>
      <c r="T148" s="99" t="s">
        <v>17</v>
      </c>
      <c r="U148" s="99" t="s">
        <v>701</v>
      </c>
    </row>
    <row r="149" ht="20.4" spans="1:21">
      <c r="A149" s="97">
        <v>148</v>
      </c>
      <c r="B149" s="98">
        <v>45541</v>
      </c>
      <c r="C149" s="99" t="s">
        <v>11</v>
      </c>
      <c r="D149" s="99">
        <v>2</v>
      </c>
      <c r="E149" s="100" t="s">
        <v>502</v>
      </c>
      <c r="F149" s="101" t="s">
        <v>914</v>
      </c>
      <c r="G149" s="99">
        <v>27</v>
      </c>
      <c r="H149" s="102" t="b">
        <v>0</v>
      </c>
      <c r="I149" s="105">
        <v>42736</v>
      </c>
      <c r="J149" s="102">
        <v>1</v>
      </c>
      <c r="K149" s="102">
        <v>1</v>
      </c>
      <c r="L149" s="102" t="b">
        <v>0</v>
      </c>
      <c r="M149" s="105">
        <v>42736</v>
      </c>
      <c r="N149" s="102">
        <v>1</v>
      </c>
      <c r="O149" s="102" t="s">
        <v>1157</v>
      </c>
      <c r="P149" s="102" t="s">
        <v>1158</v>
      </c>
      <c r="Q149" s="102" t="s">
        <v>1159</v>
      </c>
      <c r="R149" s="102" t="s">
        <v>1160</v>
      </c>
      <c r="S149" s="102">
        <v>0</v>
      </c>
      <c r="T149" s="99" t="s">
        <v>17</v>
      </c>
      <c r="U149" s="99" t="s">
        <v>701</v>
      </c>
    </row>
    <row r="150" ht="20.4" spans="1:21">
      <c r="A150" s="97">
        <v>149</v>
      </c>
      <c r="B150" s="98">
        <v>45541</v>
      </c>
      <c r="C150" s="99" t="s">
        <v>11</v>
      </c>
      <c r="D150" s="99">
        <v>2</v>
      </c>
      <c r="E150" s="100" t="s">
        <v>725</v>
      </c>
      <c r="F150" s="101" t="s">
        <v>868</v>
      </c>
      <c r="G150" s="99">
        <v>113</v>
      </c>
      <c r="H150" s="102" t="b">
        <v>0</v>
      </c>
      <c r="I150" s="105">
        <v>42736</v>
      </c>
      <c r="J150" s="102">
        <v>1</v>
      </c>
      <c r="K150" s="102">
        <v>1</v>
      </c>
      <c r="L150" s="102" t="b">
        <v>0</v>
      </c>
      <c r="M150" s="105">
        <v>42736</v>
      </c>
      <c r="N150" s="102">
        <v>1</v>
      </c>
      <c r="O150" s="102" t="s">
        <v>1157</v>
      </c>
      <c r="P150" s="102" t="s">
        <v>1158</v>
      </c>
      <c r="Q150" s="102" t="s">
        <v>1159</v>
      </c>
      <c r="R150" s="102" t="s">
        <v>1160</v>
      </c>
      <c r="S150" s="102">
        <v>0</v>
      </c>
      <c r="T150" s="99" t="s">
        <v>17</v>
      </c>
      <c r="U150" s="99" t="s">
        <v>701</v>
      </c>
    </row>
    <row r="151" ht="20.4" spans="1:21">
      <c r="A151" s="97">
        <v>150</v>
      </c>
      <c r="B151" s="98">
        <v>45541</v>
      </c>
      <c r="C151" s="99" t="s">
        <v>31</v>
      </c>
      <c r="D151" s="99">
        <v>3</v>
      </c>
      <c r="E151" s="100" t="s">
        <v>508</v>
      </c>
      <c r="F151" s="97" t="s">
        <v>915</v>
      </c>
      <c r="G151" s="99">
        <v>82</v>
      </c>
      <c r="H151" s="102" t="b">
        <v>0</v>
      </c>
      <c r="I151" s="105">
        <v>42736</v>
      </c>
      <c r="J151" s="102">
        <v>1</v>
      </c>
      <c r="K151" s="102">
        <v>1</v>
      </c>
      <c r="L151" s="102" t="b">
        <v>0</v>
      </c>
      <c r="M151" s="105">
        <v>42736</v>
      </c>
      <c r="N151" s="102">
        <v>1</v>
      </c>
      <c r="O151" s="102" t="s">
        <v>1157</v>
      </c>
      <c r="P151" s="102" t="s">
        <v>1158</v>
      </c>
      <c r="Q151" s="102" t="s">
        <v>1159</v>
      </c>
      <c r="R151" s="102" t="s">
        <v>1160</v>
      </c>
      <c r="S151" s="102">
        <v>0</v>
      </c>
      <c r="T151" s="99" t="s">
        <v>17</v>
      </c>
      <c r="U151" s="99" t="s">
        <v>701</v>
      </c>
    </row>
    <row r="152" ht="20.4" spans="1:21">
      <c r="A152" s="97">
        <v>151</v>
      </c>
      <c r="B152" s="98">
        <v>45541</v>
      </c>
      <c r="C152" s="99" t="s">
        <v>31</v>
      </c>
      <c r="D152" s="99">
        <v>3</v>
      </c>
      <c r="E152" s="100" t="s">
        <v>783</v>
      </c>
      <c r="F152" s="101" t="s">
        <v>916</v>
      </c>
      <c r="G152" s="99">
        <v>89</v>
      </c>
      <c r="H152" s="102" t="b">
        <v>0</v>
      </c>
      <c r="I152" s="105">
        <v>42736</v>
      </c>
      <c r="J152" s="102">
        <v>1</v>
      </c>
      <c r="K152" s="102">
        <v>1</v>
      </c>
      <c r="L152" s="102" t="b">
        <v>0</v>
      </c>
      <c r="M152" s="105">
        <v>42736</v>
      </c>
      <c r="N152" s="102">
        <v>1</v>
      </c>
      <c r="O152" s="102" t="s">
        <v>1157</v>
      </c>
      <c r="P152" s="102" t="s">
        <v>1158</v>
      </c>
      <c r="Q152" s="102" t="s">
        <v>1159</v>
      </c>
      <c r="R152" s="102" t="s">
        <v>1160</v>
      </c>
      <c r="S152" s="102">
        <v>0</v>
      </c>
      <c r="T152" s="99" t="s">
        <v>17</v>
      </c>
      <c r="U152" s="99" t="s">
        <v>700</v>
      </c>
    </row>
    <row r="153" ht="20.4" spans="1:21">
      <c r="A153" s="97">
        <v>152</v>
      </c>
      <c r="B153" s="98">
        <v>45541</v>
      </c>
      <c r="C153" s="99" t="s">
        <v>31</v>
      </c>
      <c r="D153" s="99">
        <v>3</v>
      </c>
      <c r="E153" s="100" t="s">
        <v>516</v>
      </c>
      <c r="F153" s="101" t="s">
        <v>904</v>
      </c>
      <c r="G153" s="99">
        <v>684</v>
      </c>
      <c r="H153" s="102" t="b">
        <v>0</v>
      </c>
      <c r="I153" s="105">
        <v>42736</v>
      </c>
      <c r="J153" s="102">
        <v>1</v>
      </c>
      <c r="K153" s="102">
        <v>1</v>
      </c>
      <c r="L153" s="102" t="b">
        <v>0</v>
      </c>
      <c r="M153" s="105">
        <v>42736</v>
      </c>
      <c r="N153" s="102">
        <v>1</v>
      </c>
      <c r="O153" s="102" t="s">
        <v>1157</v>
      </c>
      <c r="P153" s="102" t="s">
        <v>1158</v>
      </c>
      <c r="Q153" s="102" t="s">
        <v>1159</v>
      </c>
      <c r="R153" s="102" t="s">
        <v>1160</v>
      </c>
      <c r="S153" s="102">
        <v>0</v>
      </c>
      <c r="T153" s="99" t="s">
        <v>17</v>
      </c>
      <c r="U153" s="99" t="s">
        <v>701</v>
      </c>
    </row>
    <row r="154" ht="20.4" spans="1:21">
      <c r="A154" s="97">
        <v>153</v>
      </c>
      <c r="B154" s="98">
        <v>45541</v>
      </c>
      <c r="C154" s="99" t="s">
        <v>31</v>
      </c>
      <c r="D154" s="99">
        <v>3</v>
      </c>
      <c r="E154" s="100" t="s">
        <v>519</v>
      </c>
      <c r="F154" s="97" t="s">
        <v>904</v>
      </c>
      <c r="G154" s="99">
        <v>187</v>
      </c>
      <c r="H154" s="102" t="b">
        <v>0</v>
      </c>
      <c r="I154" s="105">
        <v>42736</v>
      </c>
      <c r="J154" s="102">
        <v>1</v>
      </c>
      <c r="K154" s="102">
        <v>1</v>
      </c>
      <c r="L154" s="102" t="b">
        <v>0</v>
      </c>
      <c r="M154" s="105">
        <v>42736</v>
      </c>
      <c r="N154" s="102">
        <v>1</v>
      </c>
      <c r="O154" s="102" t="s">
        <v>1157</v>
      </c>
      <c r="P154" s="102" t="s">
        <v>1158</v>
      </c>
      <c r="Q154" s="102" t="s">
        <v>1159</v>
      </c>
      <c r="R154" s="102" t="s">
        <v>1160</v>
      </c>
      <c r="S154" s="102">
        <v>0</v>
      </c>
      <c r="T154" s="99" t="s">
        <v>17</v>
      </c>
      <c r="U154" s="99" t="s">
        <v>701</v>
      </c>
    </row>
    <row r="155" ht="40.8" spans="1:21">
      <c r="A155" s="97">
        <v>154</v>
      </c>
      <c r="B155" s="98">
        <v>45541</v>
      </c>
      <c r="C155" s="99" t="s">
        <v>31</v>
      </c>
      <c r="D155" s="99">
        <v>3</v>
      </c>
      <c r="E155" s="100" t="s">
        <v>784</v>
      </c>
      <c r="F155" s="101" t="s">
        <v>841</v>
      </c>
      <c r="G155" s="99">
        <v>27</v>
      </c>
      <c r="H155" s="102" t="b">
        <v>0</v>
      </c>
      <c r="I155" s="105">
        <v>42736</v>
      </c>
      <c r="J155" s="102">
        <v>1</v>
      </c>
      <c r="K155" s="102">
        <v>1</v>
      </c>
      <c r="L155" s="102" t="b">
        <v>0</v>
      </c>
      <c r="M155" s="105">
        <v>42736</v>
      </c>
      <c r="N155" s="102">
        <v>1</v>
      </c>
      <c r="O155" s="102" t="s">
        <v>1157</v>
      </c>
      <c r="P155" s="102" t="s">
        <v>1158</v>
      </c>
      <c r="Q155" s="102" t="s">
        <v>1159</v>
      </c>
      <c r="R155" s="102" t="s">
        <v>1160</v>
      </c>
      <c r="S155" s="102">
        <v>0</v>
      </c>
      <c r="T155" s="99" t="s">
        <v>17</v>
      </c>
      <c r="U155" s="99" t="s">
        <v>700</v>
      </c>
    </row>
    <row r="156" ht="20.4" spans="1:21">
      <c r="A156" s="97">
        <v>155</v>
      </c>
      <c r="B156" s="98">
        <v>45541</v>
      </c>
      <c r="C156" s="99" t="s">
        <v>31</v>
      </c>
      <c r="D156" s="99">
        <v>3</v>
      </c>
      <c r="E156" s="100" t="s">
        <v>525</v>
      </c>
      <c r="F156" s="97" t="s">
        <v>828</v>
      </c>
      <c r="G156" s="99">
        <v>91</v>
      </c>
      <c r="H156" s="102" t="b">
        <v>0</v>
      </c>
      <c r="I156" s="105">
        <v>42736</v>
      </c>
      <c r="J156" s="102">
        <v>1</v>
      </c>
      <c r="K156" s="102">
        <v>1</v>
      </c>
      <c r="L156" s="102" t="b">
        <v>0</v>
      </c>
      <c r="M156" s="105">
        <v>42736</v>
      </c>
      <c r="N156" s="102">
        <v>1</v>
      </c>
      <c r="O156" s="102" t="s">
        <v>1157</v>
      </c>
      <c r="P156" s="102" t="s">
        <v>1158</v>
      </c>
      <c r="Q156" s="102" t="s">
        <v>1159</v>
      </c>
      <c r="R156" s="102" t="s">
        <v>1160</v>
      </c>
      <c r="S156" s="102">
        <v>0</v>
      </c>
      <c r="T156" s="99" t="s">
        <v>17</v>
      </c>
      <c r="U156" s="99" t="s">
        <v>701</v>
      </c>
    </row>
    <row r="157" ht="20.4" spans="1:21">
      <c r="A157" s="97">
        <v>156</v>
      </c>
      <c r="B157" s="98">
        <v>45541</v>
      </c>
      <c r="C157" s="99" t="s">
        <v>31</v>
      </c>
      <c r="D157" s="99">
        <v>3</v>
      </c>
      <c r="E157" s="100" t="s">
        <v>528</v>
      </c>
      <c r="F157" s="97" t="s">
        <v>917</v>
      </c>
      <c r="G157" s="99">
        <v>173</v>
      </c>
      <c r="H157" s="102" t="b">
        <v>0</v>
      </c>
      <c r="I157" s="105">
        <v>42736</v>
      </c>
      <c r="J157" s="102">
        <v>1</v>
      </c>
      <c r="K157" s="102">
        <v>1</v>
      </c>
      <c r="L157" s="102" t="b">
        <v>0</v>
      </c>
      <c r="M157" s="105">
        <v>42736</v>
      </c>
      <c r="N157" s="102">
        <v>1</v>
      </c>
      <c r="O157" s="102" t="s">
        <v>1157</v>
      </c>
      <c r="P157" s="102" t="s">
        <v>1158</v>
      </c>
      <c r="Q157" s="102" t="s">
        <v>1159</v>
      </c>
      <c r="R157" s="102" t="s">
        <v>1160</v>
      </c>
      <c r="S157" s="102">
        <v>0</v>
      </c>
      <c r="T157" s="99" t="s">
        <v>17</v>
      </c>
      <c r="U157" s="99" t="s">
        <v>701</v>
      </c>
    </row>
    <row r="158" ht="20.4" spans="1:21">
      <c r="A158" s="97">
        <v>157</v>
      </c>
      <c r="B158" s="98">
        <v>45541</v>
      </c>
      <c r="C158" s="99" t="s">
        <v>31</v>
      </c>
      <c r="D158" s="99">
        <v>3</v>
      </c>
      <c r="E158" s="100" t="s">
        <v>532</v>
      </c>
      <c r="F158" s="97" t="s">
        <v>918</v>
      </c>
      <c r="G158" s="99">
        <v>101</v>
      </c>
      <c r="H158" s="102" t="b">
        <v>0</v>
      </c>
      <c r="I158" s="105">
        <v>42736</v>
      </c>
      <c r="J158" s="102">
        <v>1</v>
      </c>
      <c r="K158" s="102">
        <v>1</v>
      </c>
      <c r="L158" s="102" t="b">
        <v>0</v>
      </c>
      <c r="M158" s="105">
        <v>42736</v>
      </c>
      <c r="N158" s="102">
        <v>1</v>
      </c>
      <c r="O158" s="102" t="s">
        <v>1157</v>
      </c>
      <c r="P158" s="102" t="s">
        <v>1158</v>
      </c>
      <c r="Q158" s="102" t="s">
        <v>1159</v>
      </c>
      <c r="R158" s="102" t="s">
        <v>1160</v>
      </c>
      <c r="S158" s="102">
        <v>0</v>
      </c>
      <c r="T158" s="99" t="s">
        <v>17</v>
      </c>
      <c r="U158" s="99" t="s">
        <v>701</v>
      </c>
    </row>
    <row r="159" ht="20.4" spans="1:21">
      <c r="A159" s="97">
        <v>158</v>
      </c>
      <c r="B159" s="98">
        <v>45541</v>
      </c>
      <c r="C159" s="99" t="s">
        <v>31</v>
      </c>
      <c r="D159" s="99">
        <v>3</v>
      </c>
      <c r="E159" s="100" t="s">
        <v>785</v>
      </c>
      <c r="F159" s="97" t="s">
        <v>842</v>
      </c>
      <c r="G159" s="99">
        <v>13</v>
      </c>
      <c r="H159" s="102" t="b">
        <v>0</v>
      </c>
      <c r="I159" s="105">
        <v>42736</v>
      </c>
      <c r="J159" s="102">
        <v>1</v>
      </c>
      <c r="K159" s="102">
        <v>1</v>
      </c>
      <c r="L159" s="102" t="b">
        <v>0</v>
      </c>
      <c r="M159" s="105">
        <v>42736</v>
      </c>
      <c r="N159" s="102">
        <v>1</v>
      </c>
      <c r="O159" s="102" t="s">
        <v>1157</v>
      </c>
      <c r="P159" s="102" t="s">
        <v>1158</v>
      </c>
      <c r="Q159" s="102" t="s">
        <v>1159</v>
      </c>
      <c r="R159" s="102" t="s">
        <v>1160</v>
      </c>
      <c r="S159" s="102">
        <v>0</v>
      </c>
      <c r="T159" s="99" t="s">
        <v>17</v>
      </c>
      <c r="U159" s="99" t="s">
        <v>700</v>
      </c>
    </row>
    <row r="160" ht="20.4" spans="1:21">
      <c r="A160" s="97">
        <v>159</v>
      </c>
      <c r="B160" s="98">
        <v>45541</v>
      </c>
      <c r="C160" s="99" t="s">
        <v>31</v>
      </c>
      <c r="D160" s="99">
        <v>3</v>
      </c>
      <c r="E160" s="100" t="s">
        <v>786</v>
      </c>
      <c r="F160" s="101" t="s">
        <v>919</v>
      </c>
      <c r="G160" s="99">
        <v>12</v>
      </c>
      <c r="H160" s="102" t="b">
        <v>0</v>
      </c>
      <c r="I160" s="105">
        <v>42736</v>
      </c>
      <c r="J160" s="102">
        <v>1</v>
      </c>
      <c r="K160" s="102">
        <v>1</v>
      </c>
      <c r="L160" s="102" t="b">
        <v>0</v>
      </c>
      <c r="M160" s="105">
        <v>42736</v>
      </c>
      <c r="N160" s="102">
        <v>1</v>
      </c>
      <c r="O160" s="102" t="s">
        <v>1157</v>
      </c>
      <c r="P160" s="102" t="s">
        <v>1158</v>
      </c>
      <c r="Q160" s="102" t="s">
        <v>1159</v>
      </c>
      <c r="R160" s="102" t="s">
        <v>1160</v>
      </c>
      <c r="S160" s="102">
        <v>0</v>
      </c>
      <c r="T160" s="99" t="s">
        <v>17</v>
      </c>
      <c r="U160" s="99" t="s">
        <v>731</v>
      </c>
    </row>
    <row r="161" ht="20.4" spans="1:21">
      <c r="A161" s="97">
        <v>160</v>
      </c>
      <c r="B161" s="98">
        <v>45541</v>
      </c>
      <c r="C161" s="99" t="s">
        <v>31</v>
      </c>
      <c r="D161" s="99">
        <v>3</v>
      </c>
      <c r="E161" s="100" t="s">
        <v>787</v>
      </c>
      <c r="F161" s="101" t="s">
        <v>918</v>
      </c>
      <c r="G161" s="99">
        <v>4</v>
      </c>
      <c r="H161" s="102" t="b">
        <v>0</v>
      </c>
      <c r="I161" s="105">
        <v>42736</v>
      </c>
      <c r="J161" s="102">
        <v>1</v>
      </c>
      <c r="K161" s="102">
        <v>1</v>
      </c>
      <c r="L161" s="102" t="b">
        <v>0</v>
      </c>
      <c r="M161" s="105">
        <v>42736</v>
      </c>
      <c r="N161" s="102">
        <v>1</v>
      </c>
      <c r="O161" s="102" t="s">
        <v>1157</v>
      </c>
      <c r="P161" s="102" t="s">
        <v>1158</v>
      </c>
      <c r="Q161" s="102" t="s">
        <v>1159</v>
      </c>
      <c r="R161" s="102" t="s">
        <v>1160</v>
      </c>
      <c r="S161" s="102">
        <v>0</v>
      </c>
      <c r="T161" s="99" t="s">
        <v>17</v>
      </c>
      <c r="U161" s="99" t="s">
        <v>700</v>
      </c>
    </row>
    <row r="162" ht="20.4" spans="1:21">
      <c r="A162" s="97">
        <v>161</v>
      </c>
      <c r="B162" s="98">
        <v>45541</v>
      </c>
      <c r="C162" s="99" t="s">
        <v>31</v>
      </c>
      <c r="D162" s="99">
        <v>3</v>
      </c>
      <c r="E162" s="100" t="s">
        <v>542</v>
      </c>
      <c r="F162" s="101" t="s">
        <v>852</v>
      </c>
      <c r="G162" s="99">
        <v>50</v>
      </c>
      <c r="H162" s="102" t="b">
        <v>0</v>
      </c>
      <c r="I162" s="105">
        <v>42736</v>
      </c>
      <c r="J162" s="102">
        <v>1</v>
      </c>
      <c r="K162" s="102">
        <v>1</v>
      </c>
      <c r="L162" s="102" t="b">
        <v>0</v>
      </c>
      <c r="M162" s="105">
        <v>42736</v>
      </c>
      <c r="N162" s="102">
        <v>1</v>
      </c>
      <c r="O162" s="102" t="s">
        <v>1157</v>
      </c>
      <c r="P162" s="102" t="s">
        <v>1158</v>
      </c>
      <c r="Q162" s="102" t="s">
        <v>1159</v>
      </c>
      <c r="R162" s="102" t="s">
        <v>1160</v>
      </c>
      <c r="S162" s="102">
        <v>0</v>
      </c>
      <c r="T162" s="99" t="s">
        <v>17</v>
      </c>
      <c r="U162" s="99" t="s">
        <v>701</v>
      </c>
    </row>
    <row r="163" ht="20.4" spans="1:21">
      <c r="A163" s="97">
        <v>162</v>
      </c>
      <c r="B163" s="98">
        <v>45541</v>
      </c>
      <c r="C163" s="99" t="s">
        <v>31</v>
      </c>
      <c r="D163" s="99">
        <v>3</v>
      </c>
      <c r="E163" s="100" t="s">
        <v>543</v>
      </c>
      <c r="F163" s="97" t="s">
        <v>872</v>
      </c>
      <c r="G163" s="99">
        <v>65</v>
      </c>
      <c r="H163" s="102" t="b">
        <v>0</v>
      </c>
      <c r="I163" s="105">
        <v>42736</v>
      </c>
      <c r="J163" s="102">
        <v>1</v>
      </c>
      <c r="K163" s="102">
        <v>1</v>
      </c>
      <c r="L163" s="102" t="b">
        <v>0</v>
      </c>
      <c r="M163" s="105">
        <v>42736</v>
      </c>
      <c r="N163" s="102">
        <v>1</v>
      </c>
      <c r="O163" s="102" t="s">
        <v>1157</v>
      </c>
      <c r="P163" s="102" t="s">
        <v>1158</v>
      </c>
      <c r="Q163" s="102" t="s">
        <v>1159</v>
      </c>
      <c r="R163" s="102" t="s">
        <v>1160</v>
      </c>
      <c r="S163" s="102">
        <v>0</v>
      </c>
      <c r="T163" s="99" t="s">
        <v>17</v>
      </c>
      <c r="U163" s="99" t="s">
        <v>701</v>
      </c>
    </row>
    <row r="164" ht="20.4" spans="1:21">
      <c r="A164" s="97">
        <v>163</v>
      </c>
      <c r="B164" s="98">
        <v>45541</v>
      </c>
      <c r="C164" s="99" t="s">
        <v>31</v>
      </c>
      <c r="D164" s="99">
        <v>3</v>
      </c>
      <c r="E164" s="100" t="s">
        <v>788</v>
      </c>
      <c r="F164" s="101" t="s">
        <v>900</v>
      </c>
      <c r="G164" s="99">
        <v>7</v>
      </c>
      <c r="H164" s="102" t="b">
        <v>0</v>
      </c>
      <c r="I164" s="105">
        <v>42736</v>
      </c>
      <c r="J164" s="102">
        <v>1</v>
      </c>
      <c r="K164" s="102">
        <v>1</v>
      </c>
      <c r="L164" s="102" t="b">
        <v>0</v>
      </c>
      <c r="M164" s="105">
        <v>42736</v>
      </c>
      <c r="N164" s="102">
        <v>1</v>
      </c>
      <c r="O164" s="102" t="s">
        <v>1157</v>
      </c>
      <c r="P164" s="102" t="s">
        <v>1158</v>
      </c>
      <c r="Q164" s="102" t="s">
        <v>1159</v>
      </c>
      <c r="R164" s="102" t="s">
        <v>1160</v>
      </c>
      <c r="S164" s="102">
        <v>0</v>
      </c>
      <c r="T164" s="99" t="s">
        <v>711</v>
      </c>
      <c r="U164" s="99" t="s">
        <v>701</v>
      </c>
    </row>
    <row r="165" ht="20.4" spans="1:21">
      <c r="A165" s="97">
        <v>164</v>
      </c>
      <c r="B165" s="98">
        <v>45541</v>
      </c>
      <c r="C165" s="99" t="s">
        <v>31</v>
      </c>
      <c r="D165" s="99">
        <v>3</v>
      </c>
      <c r="E165" s="100" t="s">
        <v>549</v>
      </c>
      <c r="F165" s="101" t="s">
        <v>837</v>
      </c>
      <c r="G165" s="99">
        <v>144</v>
      </c>
      <c r="H165" s="102" t="b">
        <v>0</v>
      </c>
      <c r="I165" s="105">
        <v>42736</v>
      </c>
      <c r="J165" s="102">
        <v>1</v>
      </c>
      <c r="K165" s="102">
        <v>1</v>
      </c>
      <c r="L165" s="102" t="b">
        <v>0</v>
      </c>
      <c r="M165" s="105">
        <v>42736</v>
      </c>
      <c r="N165" s="102">
        <v>1</v>
      </c>
      <c r="O165" s="102" t="s">
        <v>1157</v>
      </c>
      <c r="P165" s="102" t="s">
        <v>1158</v>
      </c>
      <c r="Q165" s="102" t="s">
        <v>1159</v>
      </c>
      <c r="R165" s="102" t="s">
        <v>1160</v>
      </c>
      <c r="S165" s="102">
        <v>0</v>
      </c>
      <c r="T165" s="99" t="s">
        <v>17</v>
      </c>
      <c r="U165" s="99" t="s">
        <v>701</v>
      </c>
    </row>
    <row r="166" ht="20.4" spans="1:21">
      <c r="A166" s="97">
        <v>165</v>
      </c>
      <c r="B166" s="98">
        <v>45541</v>
      </c>
      <c r="C166" s="99" t="s">
        <v>80</v>
      </c>
      <c r="D166" s="99">
        <v>2</v>
      </c>
      <c r="E166" s="100" t="s">
        <v>543</v>
      </c>
      <c r="F166" s="97" t="s">
        <v>872</v>
      </c>
      <c r="G166" s="99">
        <v>65</v>
      </c>
      <c r="H166" s="102" t="b">
        <v>0</v>
      </c>
      <c r="I166" s="105">
        <v>42736</v>
      </c>
      <c r="J166" s="102">
        <v>1</v>
      </c>
      <c r="K166" s="102">
        <v>1</v>
      </c>
      <c r="L166" s="102" t="b">
        <v>0</v>
      </c>
      <c r="M166" s="105">
        <v>42736</v>
      </c>
      <c r="N166" s="102">
        <v>1</v>
      </c>
      <c r="O166" s="102" t="s">
        <v>1157</v>
      </c>
      <c r="P166" s="102" t="s">
        <v>1158</v>
      </c>
      <c r="Q166" s="102" t="s">
        <v>1159</v>
      </c>
      <c r="R166" s="102" t="s">
        <v>1160</v>
      </c>
      <c r="S166" s="102">
        <v>0</v>
      </c>
      <c r="T166" s="99" t="s">
        <v>17</v>
      </c>
      <c r="U166" s="99" t="s">
        <v>701</v>
      </c>
    </row>
    <row r="167" ht="20.4" spans="1:21">
      <c r="A167" s="97">
        <v>166</v>
      </c>
      <c r="B167" s="98">
        <v>45541</v>
      </c>
      <c r="C167" s="99" t="s">
        <v>87</v>
      </c>
      <c r="D167" s="99">
        <v>3</v>
      </c>
      <c r="E167" s="100" t="s">
        <v>552</v>
      </c>
      <c r="F167" s="97" t="s">
        <v>841</v>
      </c>
      <c r="G167" s="99">
        <v>51</v>
      </c>
      <c r="H167" s="102" t="b">
        <v>0</v>
      </c>
      <c r="I167" s="105">
        <v>42736</v>
      </c>
      <c r="J167" s="102">
        <v>1</v>
      </c>
      <c r="K167" s="102">
        <v>1</v>
      </c>
      <c r="L167" s="102" t="b">
        <v>0</v>
      </c>
      <c r="M167" s="105">
        <v>42736</v>
      </c>
      <c r="N167" s="102">
        <v>1</v>
      </c>
      <c r="O167" s="102" t="s">
        <v>1157</v>
      </c>
      <c r="P167" s="102" t="s">
        <v>1158</v>
      </c>
      <c r="Q167" s="102" t="s">
        <v>1159</v>
      </c>
      <c r="R167" s="102" t="s">
        <v>1160</v>
      </c>
      <c r="S167" s="102">
        <v>0</v>
      </c>
      <c r="T167" s="99" t="s">
        <v>17</v>
      </c>
      <c r="U167" s="99" t="s">
        <v>701</v>
      </c>
    </row>
    <row r="168" ht="20.4" spans="1:21">
      <c r="A168" s="97">
        <v>167</v>
      </c>
      <c r="B168" s="98">
        <v>45541</v>
      </c>
      <c r="C168" s="99" t="s">
        <v>87</v>
      </c>
      <c r="D168" s="99">
        <v>3</v>
      </c>
      <c r="E168" s="100" t="s">
        <v>789</v>
      </c>
      <c r="F168" s="97" t="s">
        <v>920</v>
      </c>
      <c r="G168" s="99">
        <v>6</v>
      </c>
      <c r="H168" s="102" t="b">
        <v>0</v>
      </c>
      <c r="I168" s="105">
        <v>42736</v>
      </c>
      <c r="J168" s="102">
        <v>1</v>
      </c>
      <c r="K168" s="102">
        <v>1</v>
      </c>
      <c r="L168" s="102" t="b">
        <v>0</v>
      </c>
      <c r="M168" s="105">
        <v>42736</v>
      </c>
      <c r="N168" s="102">
        <v>1</v>
      </c>
      <c r="O168" s="102" t="s">
        <v>1157</v>
      </c>
      <c r="P168" s="102" t="s">
        <v>1158</v>
      </c>
      <c r="Q168" s="102" t="s">
        <v>1159</v>
      </c>
      <c r="R168" s="102" t="s">
        <v>1160</v>
      </c>
      <c r="S168" s="102">
        <v>0</v>
      </c>
      <c r="T168" s="99" t="s">
        <v>17</v>
      </c>
      <c r="U168" s="99" t="s">
        <v>700</v>
      </c>
    </row>
    <row r="169" ht="20.4" spans="1:21">
      <c r="A169" s="97">
        <v>168</v>
      </c>
      <c r="B169" s="98">
        <v>45541</v>
      </c>
      <c r="C169" s="99" t="s">
        <v>87</v>
      </c>
      <c r="D169" s="99">
        <v>3</v>
      </c>
      <c r="E169" s="100" t="s">
        <v>556</v>
      </c>
      <c r="F169" s="97" t="s">
        <v>879</v>
      </c>
      <c r="G169" s="99">
        <v>44</v>
      </c>
      <c r="H169" s="102" t="b">
        <v>0</v>
      </c>
      <c r="I169" s="105">
        <v>42736</v>
      </c>
      <c r="J169" s="102">
        <v>1</v>
      </c>
      <c r="K169" s="102">
        <v>1</v>
      </c>
      <c r="L169" s="102" t="b">
        <v>0</v>
      </c>
      <c r="M169" s="105">
        <v>42736</v>
      </c>
      <c r="N169" s="102">
        <v>1</v>
      </c>
      <c r="O169" s="102" t="s">
        <v>1157</v>
      </c>
      <c r="P169" s="102" t="s">
        <v>1158</v>
      </c>
      <c r="Q169" s="102" t="s">
        <v>1159</v>
      </c>
      <c r="R169" s="102" t="s">
        <v>1160</v>
      </c>
      <c r="S169" s="102">
        <v>0</v>
      </c>
      <c r="T169" s="99" t="s">
        <v>17</v>
      </c>
      <c r="U169" s="99" t="s">
        <v>701</v>
      </c>
    </row>
    <row r="170" ht="20.4" spans="1:21">
      <c r="A170" s="97">
        <v>169</v>
      </c>
      <c r="B170" s="98">
        <v>45541</v>
      </c>
      <c r="C170" s="99" t="s">
        <v>87</v>
      </c>
      <c r="D170" s="99">
        <v>3</v>
      </c>
      <c r="E170" s="100" t="s">
        <v>558</v>
      </c>
      <c r="F170" s="97" t="s">
        <v>921</v>
      </c>
      <c r="G170" s="99">
        <v>149</v>
      </c>
      <c r="H170" s="102" t="b">
        <v>0</v>
      </c>
      <c r="I170" s="105">
        <v>42736</v>
      </c>
      <c r="J170" s="102">
        <v>1</v>
      </c>
      <c r="K170" s="102">
        <v>1</v>
      </c>
      <c r="L170" s="102" t="b">
        <v>0</v>
      </c>
      <c r="M170" s="105">
        <v>42736</v>
      </c>
      <c r="N170" s="102">
        <v>1</v>
      </c>
      <c r="O170" s="102" t="s">
        <v>1157</v>
      </c>
      <c r="P170" s="102" t="s">
        <v>1158</v>
      </c>
      <c r="Q170" s="102" t="s">
        <v>1159</v>
      </c>
      <c r="R170" s="102" t="s">
        <v>1160</v>
      </c>
      <c r="S170" s="102">
        <v>0</v>
      </c>
      <c r="T170" s="99" t="s">
        <v>17</v>
      </c>
      <c r="U170" s="99" t="s">
        <v>701</v>
      </c>
    </row>
    <row r="171" ht="20.4" spans="1:21">
      <c r="A171" s="97">
        <v>170</v>
      </c>
      <c r="B171" s="98">
        <v>45541</v>
      </c>
      <c r="C171" s="99" t="s">
        <v>87</v>
      </c>
      <c r="D171" s="99">
        <v>3</v>
      </c>
      <c r="E171" s="100" t="s">
        <v>562</v>
      </c>
      <c r="F171" s="97" t="s">
        <v>858</v>
      </c>
      <c r="G171" s="99">
        <v>45</v>
      </c>
      <c r="H171" s="102" t="b">
        <v>0</v>
      </c>
      <c r="I171" s="105">
        <v>42736</v>
      </c>
      <c r="J171" s="102">
        <v>1</v>
      </c>
      <c r="K171" s="102">
        <v>1</v>
      </c>
      <c r="L171" s="102" t="b">
        <v>0</v>
      </c>
      <c r="M171" s="105">
        <v>42736</v>
      </c>
      <c r="N171" s="102">
        <v>1</v>
      </c>
      <c r="O171" s="102" t="s">
        <v>1157</v>
      </c>
      <c r="P171" s="102" t="s">
        <v>1158</v>
      </c>
      <c r="Q171" s="102" t="s">
        <v>1159</v>
      </c>
      <c r="R171" s="102" t="s">
        <v>1160</v>
      </c>
      <c r="S171" s="102">
        <v>0</v>
      </c>
      <c r="T171" s="99" t="s">
        <v>17</v>
      </c>
      <c r="U171" s="99" t="s">
        <v>701</v>
      </c>
    </row>
    <row r="172" ht="20.4" spans="1:21">
      <c r="A172" s="97">
        <v>171</v>
      </c>
      <c r="B172" s="98">
        <v>45541</v>
      </c>
      <c r="C172" s="99" t="s">
        <v>87</v>
      </c>
      <c r="D172" s="99">
        <v>3</v>
      </c>
      <c r="E172" s="100" t="s">
        <v>564</v>
      </c>
      <c r="F172" s="101" t="s">
        <v>902</v>
      </c>
      <c r="G172" s="99">
        <v>43</v>
      </c>
      <c r="H172" s="102" t="b">
        <v>0</v>
      </c>
      <c r="I172" s="105">
        <v>42736</v>
      </c>
      <c r="J172" s="102">
        <v>1</v>
      </c>
      <c r="K172" s="102">
        <v>1</v>
      </c>
      <c r="L172" s="102" t="b">
        <v>0</v>
      </c>
      <c r="M172" s="105">
        <v>42736</v>
      </c>
      <c r="N172" s="102">
        <v>1</v>
      </c>
      <c r="O172" s="102" t="s">
        <v>1157</v>
      </c>
      <c r="P172" s="102" t="s">
        <v>1158</v>
      </c>
      <c r="Q172" s="102" t="s">
        <v>1159</v>
      </c>
      <c r="R172" s="102" t="s">
        <v>1160</v>
      </c>
      <c r="S172" s="102">
        <v>0</v>
      </c>
      <c r="T172" s="99" t="s">
        <v>17</v>
      </c>
      <c r="U172" s="99" t="s">
        <v>701</v>
      </c>
    </row>
    <row r="173" ht="20.4" spans="1:21">
      <c r="A173" s="97">
        <v>172</v>
      </c>
      <c r="B173" s="98">
        <v>45541</v>
      </c>
      <c r="C173" s="99" t="s">
        <v>87</v>
      </c>
      <c r="D173" s="99">
        <v>3</v>
      </c>
      <c r="E173" s="100" t="s">
        <v>790</v>
      </c>
      <c r="F173" s="101" t="s">
        <v>836</v>
      </c>
      <c r="G173" s="99">
        <v>50</v>
      </c>
      <c r="H173" s="102" t="b">
        <v>0</v>
      </c>
      <c r="I173" s="105">
        <v>42736</v>
      </c>
      <c r="J173" s="102">
        <v>1</v>
      </c>
      <c r="K173" s="102">
        <v>1</v>
      </c>
      <c r="L173" s="102" t="b">
        <v>0</v>
      </c>
      <c r="M173" s="105">
        <v>42736</v>
      </c>
      <c r="N173" s="102">
        <v>1</v>
      </c>
      <c r="O173" s="102" t="s">
        <v>1157</v>
      </c>
      <c r="P173" s="102" t="s">
        <v>1158</v>
      </c>
      <c r="Q173" s="102" t="s">
        <v>1159</v>
      </c>
      <c r="R173" s="102" t="s">
        <v>1160</v>
      </c>
      <c r="S173" s="102">
        <v>0</v>
      </c>
      <c r="T173" s="99" t="s">
        <v>17</v>
      </c>
      <c r="U173" s="99" t="s">
        <v>701</v>
      </c>
    </row>
    <row r="174" ht="20.4" spans="1:21">
      <c r="A174" s="97">
        <v>173</v>
      </c>
      <c r="B174" s="98">
        <v>45541</v>
      </c>
      <c r="C174" s="99" t="s">
        <v>87</v>
      </c>
      <c r="D174" s="99">
        <v>3</v>
      </c>
      <c r="E174" s="100" t="s">
        <v>791</v>
      </c>
      <c r="F174" s="101" t="s">
        <v>856</v>
      </c>
      <c r="G174" s="99">
        <v>77</v>
      </c>
      <c r="H174" s="102" t="b">
        <v>0</v>
      </c>
      <c r="I174" s="105">
        <v>42736</v>
      </c>
      <c r="J174" s="102">
        <v>1</v>
      </c>
      <c r="K174" s="102">
        <v>1</v>
      </c>
      <c r="L174" s="102" t="b">
        <v>0</v>
      </c>
      <c r="M174" s="105">
        <v>42736</v>
      </c>
      <c r="N174" s="102">
        <v>1</v>
      </c>
      <c r="O174" s="102" t="s">
        <v>1157</v>
      </c>
      <c r="P174" s="102" t="s">
        <v>1158</v>
      </c>
      <c r="Q174" s="102" t="s">
        <v>1159</v>
      </c>
      <c r="R174" s="102" t="s">
        <v>1160</v>
      </c>
      <c r="S174" s="102">
        <v>0</v>
      </c>
      <c r="T174" s="99" t="s">
        <v>17</v>
      </c>
      <c r="U174" s="99" t="s">
        <v>701</v>
      </c>
    </row>
    <row r="175" ht="20.4" spans="1:21">
      <c r="A175" s="97">
        <v>174</v>
      </c>
      <c r="B175" s="98">
        <v>45542</v>
      </c>
      <c r="C175" s="99" t="s">
        <v>11</v>
      </c>
      <c r="D175" s="99">
        <v>2</v>
      </c>
      <c r="E175" s="100" t="s">
        <v>570</v>
      </c>
      <c r="F175" s="101" t="s">
        <v>922</v>
      </c>
      <c r="G175" s="99">
        <v>693</v>
      </c>
      <c r="H175" s="102" t="b">
        <v>0</v>
      </c>
      <c r="I175" s="105">
        <v>42736</v>
      </c>
      <c r="J175" s="102">
        <v>1</v>
      </c>
      <c r="K175" s="102">
        <v>1</v>
      </c>
      <c r="L175" s="102" t="b">
        <v>0</v>
      </c>
      <c r="M175" s="105">
        <v>42736</v>
      </c>
      <c r="N175" s="102">
        <v>1</v>
      </c>
      <c r="O175" s="102" t="s">
        <v>1157</v>
      </c>
      <c r="P175" s="102" t="s">
        <v>1158</v>
      </c>
      <c r="Q175" s="102" t="s">
        <v>1159</v>
      </c>
      <c r="R175" s="102" t="s">
        <v>1160</v>
      </c>
      <c r="S175" s="102">
        <v>0</v>
      </c>
      <c r="T175" s="103" t="s">
        <v>17</v>
      </c>
      <c r="U175" s="99" t="s">
        <v>701</v>
      </c>
    </row>
    <row r="176" ht="20.4" spans="1:21">
      <c r="A176" s="97">
        <v>175</v>
      </c>
      <c r="B176" s="98">
        <v>45542</v>
      </c>
      <c r="C176" s="99" t="s">
        <v>11</v>
      </c>
      <c r="D176" s="99">
        <v>2</v>
      </c>
      <c r="E176" s="100" t="s">
        <v>575</v>
      </c>
      <c r="F176" s="101" t="s">
        <v>922</v>
      </c>
      <c r="G176" s="99">
        <v>155</v>
      </c>
      <c r="H176" s="102" t="b">
        <v>0</v>
      </c>
      <c r="I176" s="105">
        <v>42736</v>
      </c>
      <c r="J176" s="102">
        <v>1</v>
      </c>
      <c r="K176" s="102">
        <v>1</v>
      </c>
      <c r="L176" s="102" t="b">
        <v>0</v>
      </c>
      <c r="M176" s="105">
        <v>42736</v>
      </c>
      <c r="N176" s="102">
        <v>1</v>
      </c>
      <c r="O176" s="102" t="s">
        <v>1157</v>
      </c>
      <c r="P176" s="102" t="s">
        <v>1158</v>
      </c>
      <c r="Q176" s="102" t="s">
        <v>1159</v>
      </c>
      <c r="R176" s="102" t="s">
        <v>1160</v>
      </c>
      <c r="S176" s="102">
        <v>0</v>
      </c>
      <c r="T176" s="99" t="s">
        <v>17</v>
      </c>
      <c r="U176" s="99" t="s">
        <v>701</v>
      </c>
    </row>
    <row r="177" ht="20.4" spans="1:21">
      <c r="A177" s="97">
        <v>176</v>
      </c>
      <c r="B177" s="98">
        <v>45542</v>
      </c>
      <c r="C177" s="99" t="s">
        <v>11</v>
      </c>
      <c r="D177" s="99">
        <v>2</v>
      </c>
      <c r="E177" s="100" t="s">
        <v>579</v>
      </c>
      <c r="F177" s="101" t="s">
        <v>828</v>
      </c>
      <c r="G177" s="99">
        <v>92</v>
      </c>
      <c r="H177" s="102" t="b">
        <v>0</v>
      </c>
      <c r="I177" s="105">
        <v>42736</v>
      </c>
      <c r="J177" s="102">
        <v>1</v>
      </c>
      <c r="K177" s="102">
        <v>1</v>
      </c>
      <c r="L177" s="102" t="b">
        <v>0</v>
      </c>
      <c r="M177" s="105">
        <v>42736</v>
      </c>
      <c r="N177" s="102">
        <v>1</v>
      </c>
      <c r="O177" s="102" t="s">
        <v>1157</v>
      </c>
      <c r="P177" s="102" t="s">
        <v>1158</v>
      </c>
      <c r="Q177" s="102" t="s">
        <v>1159</v>
      </c>
      <c r="R177" s="102" t="s">
        <v>1160</v>
      </c>
      <c r="S177" s="102">
        <v>0</v>
      </c>
      <c r="T177" s="99" t="s">
        <v>17</v>
      </c>
      <c r="U177" s="99" t="s">
        <v>701</v>
      </c>
    </row>
    <row r="178" ht="20.4" spans="1:21">
      <c r="A178" s="97">
        <v>177</v>
      </c>
      <c r="B178" s="98">
        <v>45542</v>
      </c>
      <c r="C178" s="99" t="s">
        <v>11</v>
      </c>
      <c r="D178" s="99">
        <v>2</v>
      </c>
      <c r="E178" s="100" t="s">
        <v>583</v>
      </c>
      <c r="F178" s="97" t="s">
        <v>839</v>
      </c>
      <c r="G178" s="99">
        <v>442</v>
      </c>
      <c r="H178" s="102" t="b">
        <v>0</v>
      </c>
      <c r="I178" s="105">
        <v>42736</v>
      </c>
      <c r="J178" s="102">
        <v>1</v>
      </c>
      <c r="K178" s="102">
        <v>1</v>
      </c>
      <c r="L178" s="102" t="b">
        <v>0</v>
      </c>
      <c r="M178" s="105">
        <v>42736</v>
      </c>
      <c r="N178" s="102">
        <v>1</v>
      </c>
      <c r="O178" s="102" t="s">
        <v>1157</v>
      </c>
      <c r="P178" s="102" t="s">
        <v>1158</v>
      </c>
      <c r="Q178" s="102" t="s">
        <v>1159</v>
      </c>
      <c r="R178" s="102" t="s">
        <v>1160</v>
      </c>
      <c r="S178" s="102">
        <v>0</v>
      </c>
      <c r="T178" s="99" t="s">
        <v>17</v>
      </c>
      <c r="U178" s="99" t="s">
        <v>701</v>
      </c>
    </row>
    <row r="179" ht="20.4" spans="1:21">
      <c r="A179" s="97">
        <v>178</v>
      </c>
      <c r="B179" s="98">
        <v>45542</v>
      </c>
      <c r="C179" s="99" t="s">
        <v>31</v>
      </c>
      <c r="D179" s="99">
        <v>3</v>
      </c>
      <c r="E179" s="100" t="s">
        <v>587</v>
      </c>
      <c r="F179" s="97" t="s">
        <v>884</v>
      </c>
      <c r="G179" s="99">
        <v>58</v>
      </c>
      <c r="H179" s="102" t="b">
        <v>0</v>
      </c>
      <c r="I179" s="105">
        <v>42736</v>
      </c>
      <c r="J179" s="102">
        <v>1</v>
      </c>
      <c r="K179" s="102">
        <v>1</v>
      </c>
      <c r="L179" s="102" t="b">
        <v>0</v>
      </c>
      <c r="M179" s="105">
        <v>42736</v>
      </c>
      <c r="N179" s="102">
        <v>1</v>
      </c>
      <c r="O179" s="102" t="s">
        <v>1157</v>
      </c>
      <c r="P179" s="102" t="s">
        <v>1158</v>
      </c>
      <c r="Q179" s="102" t="s">
        <v>1159</v>
      </c>
      <c r="R179" s="102" t="s">
        <v>1160</v>
      </c>
      <c r="S179" s="102">
        <v>0</v>
      </c>
      <c r="T179" s="99" t="s">
        <v>17</v>
      </c>
      <c r="U179" s="99" t="s">
        <v>701</v>
      </c>
    </row>
    <row r="180" ht="20.4" spans="1:21">
      <c r="A180" s="97">
        <v>179</v>
      </c>
      <c r="B180" s="98">
        <v>45542</v>
      </c>
      <c r="C180" s="99" t="s">
        <v>31</v>
      </c>
      <c r="D180" s="99">
        <v>3</v>
      </c>
      <c r="E180" s="100" t="s">
        <v>589</v>
      </c>
      <c r="F180" s="101" t="s">
        <v>923</v>
      </c>
      <c r="G180" s="99">
        <v>92</v>
      </c>
      <c r="H180" s="102" t="b">
        <v>0</v>
      </c>
      <c r="I180" s="105">
        <v>42736</v>
      </c>
      <c r="J180" s="102">
        <v>1</v>
      </c>
      <c r="K180" s="102">
        <v>1</v>
      </c>
      <c r="L180" s="102" t="b">
        <v>0</v>
      </c>
      <c r="M180" s="105">
        <v>42736</v>
      </c>
      <c r="N180" s="102">
        <v>1</v>
      </c>
      <c r="O180" s="102" t="s">
        <v>1157</v>
      </c>
      <c r="P180" s="102" t="s">
        <v>1158</v>
      </c>
      <c r="Q180" s="102" t="s">
        <v>1159</v>
      </c>
      <c r="R180" s="102" t="s">
        <v>1160</v>
      </c>
      <c r="S180" s="102">
        <v>0</v>
      </c>
      <c r="T180" s="99" t="s">
        <v>17</v>
      </c>
      <c r="U180" s="99" t="s">
        <v>701</v>
      </c>
    </row>
    <row r="181" ht="20.4" spans="1:21">
      <c r="A181" s="97">
        <v>180</v>
      </c>
      <c r="B181" s="98">
        <v>45542</v>
      </c>
      <c r="C181" s="99" t="s">
        <v>31</v>
      </c>
      <c r="D181" s="99">
        <v>3</v>
      </c>
      <c r="E181" s="100" t="s">
        <v>593</v>
      </c>
      <c r="F181" s="101" t="s">
        <v>919</v>
      </c>
      <c r="G181" s="99">
        <v>49</v>
      </c>
      <c r="H181" s="102" t="b">
        <v>0</v>
      </c>
      <c r="I181" s="105">
        <v>42736</v>
      </c>
      <c r="J181" s="102">
        <v>1</v>
      </c>
      <c r="K181" s="102">
        <v>1</v>
      </c>
      <c r="L181" s="102" t="b">
        <v>0</v>
      </c>
      <c r="M181" s="105">
        <v>42736</v>
      </c>
      <c r="N181" s="102">
        <v>1</v>
      </c>
      <c r="O181" s="102" t="s">
        <v>1157</v>
      </c>
      <c r="P181" s="102" t="s">
        <v>1158</v>
      </c>
      <c r="Q181" s="102" t="s">
        <v>1159</v>
      </c>
      <c r="R181" s="102" t="s">
        <v>1160</v>
      </c>
      <c r="S181" s="102">
        <v>0</v>
      </c>
      <c r="T181" s="99" t="s">
        <v>17</v>
      </c>
      <c r="U181" s="99" t="s">
        <v>701</v>
      </c>
    </row>
    <row r="182" ht="20.4" spans="1:21">
      <c r="A182" s="97">
        <v>181</v>
      </c>
      <c r="B182" s="98">
        <v>45542</v>
      </c>
      <c r="C182" s="99" t="s">
        <v>31</v>
      </c>
      <c r="D182" s="99">
        <v>3</v>
      </c>
      <c r="E182" s="100" t="s">
        <v>792</v>
      </c>
      <c r="F182" s="101" t="s">
        <v>924</v>
      </c>
      <c r="G182" s="99">
        <v>12</v>
      </c>
      <c r="H182" s="102" t="b">
        <v>0</v>
      </c>
      <c r="I182" s="105">
        <v>42736</v>
      </c>
      <c r="J182" s="102">
        <v>1</v>
      </c>
      <c r="K182" s="102">
        <v>1</v>
      </c>
      <c r="L182" s="102" t="b">
        <v>0</v>
      </c>
      <c r="M182" s="105">
        <v>42736</v>
      </c>
      <c r="N182" s="102">
        <v>1</v>
      </c>
      <c r="O182" s="102" t="s">
        <v>1157</v>
      </c>
      <c r="P182" s="102" t="s">
        <v>1158</v>
      </c>
      <c r="Q182" s="102" t="s">
        <v>1159</v>
      </c>
      <c r="R182" s="102" t="s">
        <v>1160</v>
      </c>
      <c r="S182" s="102">
        <v>0</v>
      </c>
      <c r="T182" s="99" t="s">
        <v>17</v>
      </c>
      <c r="U182" s="99" t="s">
        <v>700</v>
      </c>
    </row>
    <row r="183" ht="20.4" spans="1:21">
      <c r="A183" s="97">
        <v>182</v>
      </c>
      <c r="B183" s="98">
        <v>45542</v>
      </c>
      <c r="C183" s="99" t="s">
        <v>31</v>
      </c>
      <c r="D183" s="99">
        <v>3</v>
      </c>
      <c r="E183" s="100" t="s">
        <v>793</v>
      </c>
      <c r="F183" s="97" t="s">
        <v>836</v>
      </c>
      <c r="G183" s="99">
        <v>80</v>
      </c>
      <c r="H183" s="102" t="b">
        <v>0</v>
      </c>
      <c r="I183" s="105">
        <v>42736</v>
      </c>
      <c r="J183" s="102">
        <v>1</v>
      </c>
      <c r="K183" s="102">
        <v>1</v>
      </c>
      <c r="L183" s="102" t="b">
        <v>0</v>
      </c>
      <c r="M183" s="105">
        <v>42736</v>
      </c>
      <c r="N183" s="102">
        <v>1</v>
      </c>
      <c r="O183" s="102" t="s">
        <v>1157</v>
      </c>
      <c r="P183" s="102" t="s">
        <v>1158</v>
      </c>
      <c r="Q183" s="102" t="s">
        <v>1159</v>
      </c>
      <c r="R183" s="102" t="s">
        <v>1160</v>
      </c>
      <c r="S183" s="102">
        <v>0</v>
      </c>
      <c r="T183" s="99" t="s">
        <v>17</v>
      </c>
      <c r="U183" s="99" t="s">
        <v>701</v>
      </c>
    </row>
    <row r="184" ht="20.4" spans="1:21">
      <c r="A184" s="97">
        <v>183</v>
      </c>
      <c r="B184" s="98">
        <v>45542</v>
      </c>
      <c r="C184" s="99" t="s">
        <v>31</v>
      </c>
      <c r="D184" s="99">
        <v>3</v>
      </c>
      <c r="E184" s="100" t="s">
        <v>794</v>
      </c>
      <c r="F184" s="101" t="s">
        <v>925</v>
      </c>
      <c r="G184" s="99">
        <v>111</v>
      </c>
      <c r="H184" s="102" t="b">
        <v>0</v>
      </c>
      <c r="I184" s="105">
        <v>42736</v>
      </c>
      <c r="J184" s="102">
        <v>1</v>
      </c>
      <c r="K184" s="102">
        <v>1</v>
      </c>
      <c r="L184" s="102" t="b">
        <v>0</v>
      </c>
      <c r="M184" s="105">
        <v>42736</v>
      </c>
      <c r="N184" s="102">
        <v>1</v>
      </c>
      <c r="O184" s="102" t="s">
        <v>1157</v>
      </c>
      <c r="P184" s="102" t="s">
        <v>1158</v>
      </c>
      <c r="Q184" s="102" t="s">
        <v>1159</v>
      </c>
      <c r="R184" s="102" t="s">
        <v>1160</v>
      </c>
      <c r="S184" s="102">
        <v>0</v>
      </c>
      <c r="T184" s="99" t="s">
        <v>17</v>
      </c>
      <c r="U184" s="99" t="s">
        <v>701</v>
      </c>
    </row>
    <row r="185" ht="20.4" spans="1:21">
      <c r="A185" s="97">
        <v>184</v>
      </c>
      <c r="B185" s="98">
        <v>45542</v>
      </c>
      <c r="C185" s="99" t="s">
        <v>80</v>
      </c>
      <c r="D185" s="99">
        <v>2</v>
      </c>
      <c r="E185" s="100" t="s">
        <v>606</v>
      </c>
      <c r="F185" s="97" t="s">
        <v>922</v>
      </c>
      <c r="G185" s="99">
        <v>163</v>
      </c>
      <c r="H185" s="102" t="b">
        <v>0</v>
      </c>
      <c r="I185" s="105">
        <v>42736</v>
      </c>
      <c r="J185" s="102">
        <v>1</v>
      </c>
      <c r="K185" s="102">
        <v>1</v>
      </c>
      <c r="L185" s="102" t="b">
        <v>0</v>
      </c>
      <c r="M185" s="105">
        <v>42736</v>
      </c>
      <c r="N185" s="102">
        <v>1</v>
      </c>
      <c r="O185" s="102" t="s">
        <v>1157</v>
      </c>
      <c r="P185" s="102" t="s">
        <v>1158</v>
      </c>
      <c r="Q185" s="102" t="s">
        <v>1159</v>
      </c>
      <c r="R185" s="102" t="s">
        <v>1160</v>
      </c>
      <c r="S185" s="102">
        <v>0</v>
      </c>
      <c r="T185" s="99" t="s">
        <v>17</v>
      </c>
      <c r="U185" s="99" t="s">
        <v>701</v>
      </c>
    </row>
    <row r="186" ht="20.4" spans="1:21">
      <c r="A186" s="97">
        <v>185</v>
      </c>
      <c r="B186" s="98">
        <v>45542</v>
      </c>
      <c r="C186" s="99" t="s">
        <v>80</v>
      </c>
      <c r="D186" s="99">
        <v>2</v>
      </c>
      <c r="E186" s="100" t="s">
        <v>609</v>
      </c>
      <c r="F186" s="97" t="s">
        <v>842</v>
      </c>
      <c r="G186" s="99">
        <v>359</v>
      </c>
      <c r="H186" s="102" t="b">
        <v>0</v>
      </c>
      <c r="I186" s="105">
        <v>42736</v>
      </c>
      <c r="J186" s="102">
        <v>1</v>
      </c>
      <c r="K186" s="102">
        <v>1</v>
      </c>
      <c r="L186" s="102" t="b">
        <v>0</v>
      </c>
      <c r="M186" s="105">
        <v>42736</v>
      </c>
      <c r="N186" s="102">
        <v>1</v>
      </c>
      <c r="O186" s="102" t="s">
        <v>1157</v>
      </c>
      <c r="P186" s="102" t="s">
        <v>1158</v>
      </c>
      <c r="Q186" s="102" t="s">
        <v>1159</v>
      </c>
      <c r="R186" s="102" t="s">
        <v>1160</v>
      </c>
      <c r="S186" s="102">
        <v>0</v>
      </c>
      <c r="T186" s="99" t="s">
        <v>17</v>
      </c>
      <c r="U186" s="99" t="s">
        <v>701</v>
      </c>
    </row>
    <row r="187" ht="20.4" spans="1:21">
      <c r="A187" s="97">
        <v>186</v>
      </c>
      <c r="B187" s="98">
        <v>45542</v>
      </c>
      <c r="C187" s="99" t="s">
        <v>87</v>
      </c>
      <c r="D187" s="99">
        <v>3</v>
      </c>
      <c r="E187" s="100" t="s">
        <v>612</v>
      </c>
      <c r="F187" s="97" t="s">
        <v>897</v>
      </c>
      <c r="G187" s="99">
        <v>49</v>
      </c>
      <c r="H187" s="102" t="b">
        <v>0</v>
      </c>
      <c r="I187" s="105">
        <v>42736</v>
      </c>
      <c r="J187" s="102">
        <v>1</v>
      </c>
      <c r="K187" s="102">
        <v>1</v>
      </c>
      <c r="L187" s="102" t="b">
        <v>0</v>
      </c>
      <c r="M187" s="105">
        <v>42736</v>
      </c>
      <c r="N187" s="102">
        <v>1</v>
      </c>
      <c r="O187" s="102" t="s">
        <v>1157</v>
      </c>
      <c r="P187" s="102" t="s">
        <v>1158</v>
      </c>
      <c r="Q187" s="102" t="s">
        <v>1159</v>
      </c>
      <c r="R187" s="102" t="s">
        <v>1160</v>
      </c>
      <c r="S187" s="102">
        <v>0</v>
      </c>
      <c r="T187" s="99" t="s">
        <v>17</v>
      </c>
      <c r="U187" s="99" t="s">
        <v>701</v>
      </c>
    </row>
    <row r="188" ht="20.4" spans="1:21">
      <c r="A188" s="97">
        <v>187</v>
      </c>
      <c r="B188" s="98">
        <v>45542</v>
      </c>
      <c r="C188" s="99" t="s">
        <v>87</v>
      </c>
      <c r="D188" s="99">
        <v>3</v>
      </c>
      <c r="E188" s="100" t="s">
        <v>795</v>
      </c>
      <c r="F188" s="97" t="s">
        <v>926</v>
      </c>
      <c r="G188" s="99">
        <v>13</v>
      </c>
      <c r="H188" s="102" t="b">
        <v>0</v>
      </c>
      <c r="I188" s="105">
        <v>42736</v>
      </c>
      <c r="J188" s="102">
        <v>1</v>
      </c>
      <c r="K188" s="102">
        <v>1</v>
      </c>
      <c r="L188" s="102" t="b">
        <v>0</v>
      </c>
      <c r="M188" s="105">
        <v>42736</v>
      </c>
      <c r="N188" s="102">
        <v>1</v>
      </c>
      <c r="O188" s="102" t="s">
        <v>1157</v>
      </c>
      <c r="P188" s="102" t="s">
        <v>1158</v>
      </c>
      <c r="Q188" s="102" t="s">
        <v>1159</v>
      </c>
      <c r="R188" s="102" t="s">
        <v>1160</v>
      </c>
      <c r="S188" s="102">
        <v>0</v>
      </c>
      <c r="T188" s="99" t="s">
        <v>17</v>
      </c>
      <c r="U188" s="99" t="s">
        <v>700</v>
      </c>
    </row>
    <row r="189" ht="20.4" spans="1:21">
      <c r="A189" s="97">
        <v>188</v>
      </c>
      <c r="B189" s="98">
        <v>45542</v>
      </c>
      <c r="C189" s="99" t="s">
        <v>87</v>
      </c>
      <c r="D189" s="99">
        <v>3</v>
      </c>
      <c r="E189" s="100" t="s">
        <v>617</v>
      </c>
      <c r="F189" s="101" t="s">
        <v>861</v>
      </c>
      <c r="G189" s="99">
        <v>45</v>
      </c>
      <c r="H189" s="102" t="b">
        <v>0</v>
      </c>
      <c r="I189" s="105">
        <v>42736</v>
      </c>
      <c r="J189" s="102">
        <v>1</v>
      </c>
      <c r="K189" s="102">
        <v>1</v>
      </c>
      <c r="L189" s="102" t="b">
        <v>0</v>
      </c>
      <c r="M189" s="105">
        <v>42736</v>
      </c>
      <c r="N189" s="102">
        <v>1</v>
      </c>
      <c r="O189" s="102" t="s">
        <v>1157</v>
      </c>
      <c r="P189" s="102" t="s">
        <v>1158</v>
      </c>
      <c r="Q189" s="102" t="s">
        <v>1159</v>
      </c>
      <c r="R189" s="102" t="s">
        <v>1160</v>
      </c>
      <c r="S189" s="102">
        <v>0</v>
      </c>
      <c r="T189" s="99" t="s">
        <v>17</v>
      </c>
      <c r="U189" s="99" t="s">
        <v>701</v>
      </c>
    </row>
    <row r="190" ht="20.4" spans="1:21">
      <c r="A190" s="97">
        <v>189</v>
      </c>
      <c r="B190" s="98">
        <v>45542</v>
      </c>
      <c r="C190" s="99" t="s">
        <v>87</v>
      </c>
      <c r="D190" s="99">
        <v>3</v>
      </c>
      <c r="E190" s="100" t="s">
        <v>796</v>
      </c>
      <c r="F190" s="101" t="s">
        <v>854</v>
      </c>
      <c r="G190" s="99">
        <v>7</v>
      </c>
      <c r="H190" s="102" t="b">
        <v>0</v>
      </c>
      <c r="I190" s="105">
        <v>42736</v>
      </c>
      <c r="J190" s="102">
        <v>1</v>
      </c>
      <c r="K190" s="102">
        <v>1</v>
      </c>
      <c r="L190" s="102" t="b">
        <v>0</v>
      </c>
      <c r="M190" s="105">
        <v>42736</v>
      </c>
      <c r="N190" s="102">
        <v>1</v>
      </c>
      <c r="O190" s="102" t="s">
        <v>1157</v>
      </c>
      <c r="P190" s="102" t="s">
        <v>1158</v>
      </c>
      <c r="Q190" s="102" t="s">
        <v>1159</v>
      </c>
      <c r="R190" s="102" t="s">
        <v>1160</v>
      </c>
      <c r="S190" s="102">
        <v>0</v>
      </c>
      <c r="T190" s="99" t="s">
        <v>17</v>
      </c>
      <c r="U190" s="99" t="s">
        <v>700</v>
      </c>
    </row>
    <row r="191" ht="20.4" spans="1:21">
      <c r="A191" s="97">
        <v>190</v>
      </c>
      <c r="B191" s="98">
        <v>45542</v>
      </c>
      <c r="C191" s="99" t="s">
        <v>87</v>
      </c>
      <c r="D191" s="99">
        <v>3</v>
      </c>
      <c r="E191" s="100" t="s">
        <v>621</v>
      </c>
      <c r="F191" s="101" t="s">
        <v>854</v>
      </c>
      <c r="G191" s="99">
        <v>22</v>
      </c>
      <c r="H191" s="102" t="b">
        <v>0</v>
      </c>
      <c r="I191" s="105">
        <v>42736</v>
      </c>
      <c r="J191" s="102">
        <v>1</v>
      </c>
      <c r="K191" s="102">
        <v>1</v>
      </c>
      <c r="L191" s="102" t="b">
        <v>0</v>
      </c>
      <c r="M191" s="105">
        <v>42736</v>
      </c>
      <c r="N191" s="102">
        <v>1</v>
      </c>
      <c r="O191" s="102" t="s">
        <v>1157</v>
      </c>
      <c r="P191" s="102" t="s">
        <v>1158</v>
      </c>
      <c r="Q191" s="102" t="s">
        <v>1159</v>
      </c>
      <c r="R191" s="102" t="s">
        <v>1160</v>
      </c>
      <c r="S191" s="102">
        <v>0</v>
      </c>
      <c r="T191" s="99" t="s">
        <v>17</v>
      </c>
      <c r="U191" s="99" t="s">
        <v>701</v>
      </c>
    </row>
    <row r="192" ht="20.4" spans="1:21">
      <c r="A192" s="97">
        <v>191</v>
      </c>
      <c r="B192" s="98">
        <v>45542</v>
      </c>
      <c r="C192" s="99" t="s">
        <v>87</v>
      </c>
      <c r="D192" s="99">
        <v>3</v>
      </c>
      <c r="E192" s="100" t="s">
        <v>797</v>
      </c>
      <c r="F192" s="101" t="s">
        <v>925</v>
      </c>
      <c r="G192" s="99">
        <v>111</v>
      </c>
      <c r="H192" s="102" t="b">
        <v>0</v>
      </c>
      <c r="I192" s="105">
        <v>42736</v>
      </c>
      <c r="J192" s="102">
        <v>1</v>
      </c>
      <c r="K192" s="102">
        <v>1</v>
      </c>
      <c r="L192" s="102" t="b">
        <v>0</v>
      </c>
      <c r="M192" s="105">
        <v>42736</v>
      </c>
      <c r="N192" s="102">
        <v>1</v>
      </c>
      <c r="O192" s="102" t="s">
        <v>1157</v>
      </c>
      <c r="P192" s="102" t="s">
        <v>1158</v>
      </c>
      <c r="Q192" s="102" t="s">
        <v>1159</v>
      </c>
      <c r="R192" s="102" t="s">
        <v>1160</v>
      </c>
      <c r="S192" s="102">
        <v>0</v>
      </c>
      <c r="T192" s="99" t="s">
        <v>17</v>
      </c>
      <c r="U192" s="99" t="s">
        <v>701</v>
      </c>
    </row>
    <row r="193" ht="20.4" spans="1:21">
      <c r="A193" s="97">
        <v>192</v>
      </c>
      <c r="B193" s="98">
        <v>45542</v>
      </c>
      <c r="C193" s="99" t="s">
        <v>87</v>
      </c>
      <c r="D193" s="99">
        <v>3</v>
      </c>
      <c r="E193" s="100" t="s">
        <v>798</v>
      </c>
      <c r="F193" s="97" t="s">
        <v>871</v>
      </c>
      <c r="G193" s="99">
        <v>85</v>
      </c>
      <c r="H193" s="102" t="b">
        <v>0</v>
      </c>
      <c r="I193" s="105">
        <v>42736</v>
      </c>
      <c r="J193" s="102">
        <v>1</v>
      </c>
      <c r="K193" s="102">
        <v>1</v>
      </c>
      <c r="L193" s="102" t="b">
        <v>0</v>
      </c>
      <c r="M193" s="105">
        <v>42736</v>
      </c>
      <c r="N193" s="102">
        <v>1</v>
      </c>
      <c r="O193" s="102" t="s">
        <v>1157</v>
      </c>
      <c r="P193" s="102" t="s">
        <v>1158</v>
      </c>
      <c r="Q193" s="102" t="s">
        <v>1159</v>
      </c>
      <c r="R193" s="102" t="s">
        <v>1160</v>
      </c>
      <c r="S193" s="102">
        <v>0</v>
      </c>
      <c r="T193" s="99" t="s">
        <v>17</v>
      </c>
      <c r="U193" s="99" t="s">
        <v>701</v>
      </c>
    </row>
    <row r="194" ht="20.4" spans="1:21">
      <c r="A194" s="97">
        <v>193</v>
      </c>
      <c r="B194" s="98">
        <v>45542</v>
      </c>
      <c r="C194" s="99" t="s">
        <v>87</v>
      </c>
      <c r="D194" s="99">
        <v>3</v>
      </c>
      <c r="E194" s="100" t="s">
        <v>628</v>
      </c>
      <c r="F194" s="101" t="s">
        <v>927</v>
      </c>
      <c r="G194" s="99">
        <v>45</v>
      </c>
      <c r="H194" s="102" t="b">
        <v>0</v>
      </c>
      <c r="I194" s="105">
        <v>42736</v>
      </c>
      <c r="J194" s="102">
        <v>1</v>
      </c>
      <c r="K194" s="102">
        <v>1</v>
      </c>
      <c r="L194" s="102" t="b">
        <v>0</v>
      </c>
      <c r="M194" s="105">
        <v>42736</v>
      </c>
      <c r="N194" s="102">
        <v>1</v>
      </c>
      <c r="O194" s="102" t="s">
        <v>1157</v>
      </c>
      <c r="P194" s="102" t="s">
        <v>1158</v>
      </c>
      <c r="Q194" s="102" t="s">
        <v>1159</v>
      </c>
      <c r="R194" s="102" t="s">
        <v>1160</v>
      </c>
      <c r="S194" s="102">
        <v>0</v>
      </c>
      <c r="T194" s="99" t="s">
        <v>17</v>
      </c>
      <c r="U194" s="99" t="s">
        <v>701</v>
      </c>
    </row>
    <row r="195" ht="20.4" spans="1:21">
      <c r="A195" s="97">
        <v>194</v>
      </c>
      <c r="B195" s="98">
        <v>45542</v>
      </c>
      <c r="C195" s="99" t="s">
        <v>87</v>
      </c>
      <c r="D195" s="99">
        <v>3</v>
      </c>
      <c r="E195" s="100" t="s">
        <v>928</v>
      </c>
      <c r="F195" s="101" t="s">
        <v>927</v>
      </c>
      <c r="G195" s="99">
        <v>5</v>
      </c>
      <c r="H195" s="102" t="b">
        <v>0</v>
      </c>
      <c r="I195" s="105">
        <v>42736</v>
      </c>
      <c r="J195" s="102">
        <v>1</v>
      </c>
      <c r="K195" s="102">
        <v>1</v>
      </c>
      <c r="L195" s="102" t="b">
        <v>0</v>
      </c>
      <c r="M195" s="105">
        <v>42736</v>
      </c>
      <c r="N195" s="102">
        <v>1</v>
      </c>
      <c r="O195" s="102" t="s">
        <v>1157</v>
      </c>
      <c r="P195" s="102" t="s">
        <v>1158</v>
      </c>
      <c r="Q195" s="102" t="s">
        <v>1159</v>
      </c>
      <c r="R195" s="102" t="s">
        <v>1160</v>
      </c>
      <c r="S195" s="102">
        <v>0</v>
      </c>
      <c r="T195" s="103" t="s">
        <v>17</v>
      </c>
      <c r="U195" s="99" t="s">
        <v>700</v>
      </c>
    </row>
    <row r="196" ht="20.4" spans="1:21">
      <c r="A196" s="97">
        <v>195</v>
      </c>
      <c r="B196" s="98">
        <v>45542</v>
      </c>
      <c r="C196" s="99" t="s">
        <v>312</v>
      </c>
      <c r="D196" s="99">
        <v>4</v>
      </c>
      <c r="E196" s="100" t="s">
        <v>800</v>
      </c>
      <c r="F196" s="97" t="s">
        <v>836</v>
      </c>
      <c r="G196" s="99">
        <v>80</v>
      </c>
      <c r="H196" s="102" t="b">
        <v>0</v>
      </c>
      <c r="I196" s="105">
        <v>42736</v>
      </c>
      <c r="J196" s="102">
        <v>1</v>
      </c>
      <c r="K196" s="102">
        <v>1</v>
      </c>
      <c r="L196" s="102" t="b">
        <v>0</v>
      </c>
      <c r="M196" s="105">
        <v>42736</v>
      </c>
      <c r="N196" s="102">
        <v>1</v>
      </c>
      <c r="O196" s="102" t="s">
        <v>1157</v>
      </c>
      <c r="P196" s="102" t="s">
        <v>1158</v>
      </c>
      <c r="Q196" s="102" t="s">
        <v>1159</v>
      </c>
      <c r="R196" s="102" t="s">
        <v>1160</v>
      </c>
      <c r="S196" s="102">
        <v>0</v>
      </c>
      <c r="T196" s="99" t="s">
        <v>17</v>
      </c>
      <c r="U196" s="99" t="s">
        <v>701</v>
      </c>
    </row>
    <row r="197" ht="20.4" spans="1:21">
      <c r="A197" s="97">
        <v>196</v>
      </c>
      <c r="B197" s="98">
        <v>45543</v>
      </c>
      <c r="C197" s="99" t="s">
        <v>11</v>
      </c>
      <c r="D197" s="99">
        <v>2</v>
      </c>
      <c r="E197" s="100" t="s">
        <v>632</v>
      </c>
      <c r="F197" s="97" t="s">
        <v>835</v>
      </c>
      <c r="G197" s="99">
        <v>29</v>
      </c>
      <c r="H197" s="102" t="b">
        <v>0</v>
      </c>
      <c r="I197" s="105">
        <v>42736</v>
      </c>
      <c r="J197" s="102">
        <v>1</v>
      </c>
      <c r="K197" s="102">
        <v>1</v>
      </c>
      <c r="L197" s="102" t="b">
        <v>0</v>
      </c>
      <c r="M197" s="105">
        <v>42736</v>
      </c>
      <c r="N197" s="102">
        <v>1</v>
      </c>
      <c r="O197" s="102" t="s">
        <v>1157</v>
      </c>
      <c r="P197" s="102" t="s">
        <v>1158</v>
      </c>
      <c r="Q197" s="102" t="s">
        <v>1159</v>
      </c>
      <c r="R197" s="102" t="s">
        <v>1160</v>
      </c>
      <c r="S197" s="102">
        <v>0</v>
      </c>
      <c r="T197" s="99" t="s">
        <v>17</v>
      </c>
      <c r="U197" s="99" t="s">
        <v>701</v>
      </c>
    </row>
    <row r="198" ht="20.4" spans="1:21">
      <c r="A198" s="97">
        <v>197</v>
      </c>
      <c r="B198" s="98">
        <v>45543</v>
      </c>
      <c r="C198" s="99" t="s">
        <v>11</v>
      </c>
      <c r="D198" s="99">
        <v>2</v>
      </c>
      <c r="E198" s="100" t="s">
        <v>801</v>
      </c>
      <c r="F198" s="101" t="s">
        <v>828</v>
      </c>
      <c r="G198" s="99">
        <v>12</v>
      </c>
      <c r="H198" s="102" t="b">
        <v>0</v>
      </c>
      <c r="I198" s="105">
        <v>42736</v>
      </c>
      <c r="J198" s="102">
        <v>1</v>
      </c>
      <c r="K198" s="102">
        <v>1</v>
      </c>
      <c r="L198" s="102" t="b">
        <v>0</v>
      </c>
      <c r="M198" s="105">
        <v>42736</v>
      </c>
      <c r="N198" s="102">
        <v>1</v>
      </c>
      <c r="O198" s="102" t="s">
        <v>1157</v>
      </c>
      <c r="P198" s="102" t="s">
        <v>1158</v>
      </c>
      <c r="Q198" s="102" t="s">
        <v>1159</v>
      </c>
      <c r="R198" s="102" t="s">
        <v>1160</v>
      </c>
      <c r="S198" s="102">
        <v>0</v>
      </c>
      <c r="T198" s="99" t="s">
        <v>17</v>
      </c>
      <c r="U198" s="99" t="s">
        <v>700</v>
      </c>
    </row>
    <row r="199" ht="20.4" spans="1:21">
      <c r="A199" s="97">
        <v>198</v>
      </c>
      <c r="B199" s="98">
        <v>45543</v>
      </c>
      <c r="C199" s="99" t="s">
        <v>11</v>
      </c>
      <c r="D199" s="99">
        <v>2</v>
      </c>
      <c r="E199" s="100" t="s">
        <v>802</v>
      </c>
      <c r="F199" s="101" t="s">
        <v>880</v>
      </c>
      <c r="G199" s="99">
        <v>88</v>
      </c>
      <c r="H199" s="102" t="b">
        <v>0</v>
      </c>
      <c r="I199" s="105">
        <v>42736</v>
      </c>
      <c r="J199" s="102">
        <v>1</v>
      </c>
      <c r="K199" s="102">
        <v>1</v>
      </c>
      <c r="L199" s="102" t="b">
        <v>0</v>
      </c>
      <c r="M199" s="105">
        <v>42736</v>
      </c>
      <c r="N199" s="102">
        <v>1</v>
      </c>
      <c r="O199" s="102" t="s">
        <v>1157</v>
      </c>
      <c r="P199" s="102" t="s">
        <v>1158</v>
      </c>
      <c r="Q199" s="102" t="s">
        <v>1159</v>
      </c>
      <c r="R199" s="102" t="s">
        <v>1160</v>
      </c>
      <c r="S199" s="102">
        <v>0</v>
      </c>
      <c r="T199" s="99" t="s">
        <v>17</v>
      </c>
      <c r="U199" s="99" t="s">
        <v>701</v>
      </c>
    </row>
    <row r="200" ht="20.4" spans="1:21">
      <c r="A200" s="97">
        <v>199</v>
      </c>
      <c r="B200" s="98">
        <v>45543</v>
      </c>
      <c r="C200" s="99" t="s">
        <v>11</v>
      </c>
      <c r="D200" s="99">
        <v>2</v>
      </c>
      <c r="E200" s="100" t="s">
        <v>803</v>
      </c>
      <c r="F200" s="97" t="s">
        <v>868</v>
      </c>
      <c r="G200" s="99">
        <v>58</v>
      </c>
      <c r="H200" s="102" t="b">
        <v>0</v>
      </c>
      <c r="I200" s="105">
        <v>42736</v>
      </c>
      <c r="J200" s="102">
        <v>1</v>
      </c>
      <c r="K200" s="102">
        <v>1</v>
      </c>
      <c r="L200" s="102" t="b">
        <v>0</v>
      </c>
      <c r="M200" s="105">
        <v>42736</v>
      </c>
      <c r="N200" s="102">
        <v>1</v>
      </c>
      <c r="O200" s="102" t="s">
        <v>1157</v>
      </c>
      <c r="P200" s="102" t="s">
        <v>1158</v>
      </c>
      <c r="Q200" s="102" t="s">
        <v>1159</v>
      </c>
      <c r="R200" s="102" t="s">
        <v>1160</v>
      </c>
      <c r="S200" s="102">
        <v>0</v>
      </c>
      <c r="T200" s="99" t="s">
        <v>711</v>
      </c>
      <c r="U200" s="99" t="s">
        <v>701</v>
      </c>
    </row>
    <row r="201" ht="20.4" spans="1:21">
      <c r="A201" s="97">
        <v>200</v>
      </c>
      <c r="B201" s="98">
        <v>45543</v>
      </c>
      <c r="C201" s="99" t="s">
        <v>11</v>
      </c>
      <c r="D201" s="99">
        <v>2</v>
      </c>
      <c r="E201" s="100" t="s">
        <v>642</v>
      </c>
      <c r="F201" s="97" t="s">
        <v>906</v>
      </c>
      <c r="G201" s="99">
        <v>113</v>
      </c>
      <c r="H201" s="102" t="b">
        <v>0</v>
      </c>
      <c r="I201" s="105">
        <v>42736</v>
      </c>
      <c r="J201" s="102">
        <v>1</v>
      </c>
      <c r="K201" s="102">
        <v>1</v>
      </c>
      <c r="L201" s="102" t="b">
        <v>0</v>
      </c>
      <c r="M201" s="105">
        <v>42736</v>
      </c>
      <c r="N201" s="102">
        <v>1</v>
      </c>
      <c r="O201" s="102" t="s">
        <v>1157</v>
      </c>
      <c r="P201" s="102" t="s">
        <v>1158</v>
      </c>
      <c r="Q201" s="102" t="s">
        <v>1159</v>
      </c>
      <c r="R201" s="102" t="s">
        <v>1160</v>
      </c>
      <c r="S201" s="102">
        <v>0</v>
      </c>
      <c r="T201" s="99" t="s">
        <v>17</v>
      </c>
      <c r="U201" s="99" t="s">
        <v>701</v>
      </c>
    </row>
    <row r="202" ht="20.4" spans="1:21">
      <c r="A202" s="97">
        <v>201</v>
      </c>
      <c r="B202" s="98">
        <v>45543</v>
      </c>
      <c r="C202" s="99" t="s">
        <v>644</v>
      </c>
      <c r="D202" s="99">
        <v>1</v>
      </c>
      <c r="E202" s="100" t="s">
        <v>645</v>
      </c>
      <c r="F202" s="97" t="s">
        <v>906</v>
      </c>
      <c r="G202" s="99">
        <v>113</v>
      </c>
      <c r="H202" s="102" t="b">
        <v>0</v>
      </c>
      <c r="I202" s="105">
        <v>42736</v>
      </c>
      <c r="J202" s="102">
        <v>1</v>
      </c>
      <c r="K202" s="102">
        <v>1</v>
      </c>
      <c r="L202" s="102" t="b">
        <v>0</v>
      </c>
      <c r="M202" s="105">
        <v>42736</v>
      </c>
      <c r="N202" s="102">
        <v>1</v>
      </c>
      <c r="O202" s="102" t="s">
        <v>1157</v>
      </c>
      <c r="P202" s="102" t="s">
        <v>1158</v>
      </c>
      <c r="Q202" s="102" t="s">
        <v>1159</v>
      </c>
      <c r="R202" s="102" t="s">
        <v>1160</v>
      </c>
      <c r="S202" s="102">
        <v>0</v>
      </c>
      <c r="T202" s="103" t="s">
        <v>17</v>
      </c>
      <c r="U202" s="99" t="s">
        <v>701</v>
      </c>
    </row>
    <row r="203" ht="20.4" spans="1:21">
      <c r="A203" s="97">
        <v>202</v>
      </c>
      <c r="B203" s="98">
        <v>45543</v>
      </c>
      <c r="C203" s="99" t="s">
        <v>31</v>
      </c>
      <c r="D203" s="99">
        <v>3</v>
      </c>
      <c r="E203" s="100" t="s">
        <v>804</v>
      </c>
      <c r="F203" s="101" t="s">
        <v>929</v>
      </c>
      <c r="G203" s="99">
        <v>173</v>
      </c>
      <c r="H203" s="102" t="b">
        <v>0</v>
      </c>
      <c r="I203" s="105">
        <v>42736</v>
      </c>
      <c r="J203" s="102">
        <v>1</v>
      </c>
      <c r="K203" s="102">
        <v>1</v>
      </c>
      <c r="L203" s="102" t="b">
        <v>0</v>
      </c>
      <c r="M203" s="105">
        <v>42736</v>
      </c>
      <c r="N203" s="102">
        <v>1</v>
      </c>
      <c r="O203" s="102" t="s">
        <v>1157</v>
      </c>
      <c r="P203" s="102" t="s">
        <v>1158</v>
      </c>
      <c r="Q203" s="102" t="s">
        <v>1159</v>
      </c>
      <c r="R203" s="102" t="s">
        <v>1160</v>
      </c>
      <c r="S203" s="102">
        <v>0</v>
      </c>
      <c r="T203" s="99" t="s">
        <v>17</v>
      </c>
      <c r="U203" s="99" t="s">
        <v>701</v>
      </c>
    </row>
    <row r="204" ht="20.4" spans="1:21">
      <c r="A204" s="97">
        <v>203</v>
      </c>
      <c r="B204" s="98">
        <v>45543</v>
      </c>
      <c r="C204" s="99" t="s">
        <v>31</v>
      </c>
      <c r="D204" s="99">
        <v>3</v>
      </c>
      <c r="E204" s="100" t="s">
        <v>930</v>
      </c>
      <c r="F204" s="97" t="s">
        <v>931</v>
      </c>
      <c r="G204" s="99">
        <v>143</v>
      </c>
      <c r="H204" s="102" t="b">
        <v>0</v>
      </c>
      <c r="I204" s="105">
        <v>42736</v>
      </c>
      <c r="J204" s="102">
        <v>1</v>
      </c>
      <c r="K204" s="102">
        <v>1</v>
      </c>
      <c r="L204" s="102" t="b">
        <v>0</v>
      </c>
      <c r="M204" s="105">
        <v>42736</v>
      </c>
      <c r="N204" s="102">
        <v>1</v>
      </c>
      <c r="O204" s="102" t="s">
        <v>1157</v>
      </c>
      <c r="P204" s="102" t="s">
        <v>1158</v>
      </c>
      <c r="Q204" s="102" t="s">
        <v>1159</v>
      </c>
      <c r="R204" s="102" t="s">
        <v>1160</v>
      </c>
      <c r="S204" s="102">
        <v>0</v>
      </c>
      <c r="T204" s="99" t="s">
        <v>17</v>
      </c>
      <c r="U204" s="99" t="s">
        <v>700</v>
      </c>
    </row>
    <row r="205" ht="20.4" spans="1:21">
      <c r="A205" s="97">
        <v>204</v>
      </c>
      <c r="B205" s="98">
        <v>45543</v>
      </c>
      <c r="C205" s="99" t="s">
        <v>31</v>
      </c>
      <c r="D205" s="99">
        <v>3</v>
      </c>
      <c r="E205" s="100" t="s">
        <v>805</v>
      </c>
      <c r="F205" s="97" t="s">
        <v>932</v>
      </c>
      <c r="G205" s="99">
        <v>110</v>
      </c>
      <c r="H205" s="102" t="b">
        <v>0</v>
      </c>
      <c r="I205" s="105">
        <v>42736</v>
      </c>
      <c r="J205" s="102">
        <v>1</v>
      </c>
      <c r="K205" s="102">
        <v>1</v>
      </c>
      <c r="L205" s="102" t="b">
        <v>0</v>
      </c>
      <c r="M205" s="105">
        <v>42736</v>
      </c>
      <c r="N205" s="102">
        <v>1</v>
      </c>
      <c r="O205" s="102" t="s">
        <v>1157</v>
      </c>
      <c r="P205" s="102" t="s">
        <v>1158</v>
      </c>
      <c r="Q205" s="102" t="s">
        <v>1159</v>
      </c>
      <c r="R205" s="102" t="s">
        <v>1160</v>
      </c>
      <c r="S205" s="102">
        <v>0</v>
      </c>
      <c r="T205" s="99" t="s">
        <v>17</v>
      </c>
      <c r="U205" s="99" t="s">
        <v>701</v>
      </c>
    </row>
    <row r="206" ht="20.4" spans="1:21">
      <c r="A206" s="97">
        <v>205</v>
      </c>
      <c r="B206" s="98">
        <v>45543</v>
      </c>
      <c r="C206" s="99" t="s">
        <v>31</v>
      </c>
      <c r="D206" s="99">
        <v>3</v>
      </c>
      <c r="E206" s="100" t="s">
        <v>656</v>
      </c>
      <c r="F206" s="97" t="s">
        <v>931</v>
      </c>
      <c r="G206" s="99">
        <v>60</v>
      </c>
      <c r="H206" s="102" t="b">
        <v>0</v>
      </c>
      <c r="I206" s="105">
        <v>42736</v>
      </c>
      <c r="J206" s="102">
        <v>1</v>
      </c>
      <c r="K206" s="102">
        <v>1</v>
      </c>
      <c r="L206" s="102" t="b">
        <v>0</v>
      </c>
      <c r="M206" s="105">
        <v>42736</v>
      </c>
      <c r="N206" s="102">
        <v>1</v>
      </c>
      <c r="O206" s="102" t="s">
        <v>1157</v>
      </c>
      <c r="P206" s="102" t="s">
        <v>1158</v>
      </c>
      <c r="Q206" s="102" t="s">
        <v>1159</v>
      </c>
      <c r="R206" s="102" t="s">
        <v>1160</v>
      </c>
      <c r="S206" s="102">
        <v>0</v>
      </c>
      <c r="T206" s="99" t="s">
        <v>17</v>
      </c>
      <c r="U206" s="99" t="s">
        <v>701</v>
      </c>
    </row>
    <row r="207" ht="20.4" spans="1:21">
      <c r="A207" s="97">
        <v>206</v>
      </c>
      <c r="B207" s="98">
        <v>45543</v>
      </c>
      <c r="C207" s="106" t="s">
        <v>31</v>
      </c>
      <c r="D207" s="106">
        <v>3</v>
      </c>
      <c r="E207" s="106" t="s">
        <v>806</v>
      </c>
      <c r="F207" s="97" t="s">
        <v>905</v>
      </c>
      <c r="G207" s="106">
        <v>3</v>
      </c>
      <c r="H207" s="102" t="b">
        <v>0</v>
      </c>
      <c r="I207" s="105">
        <v>42736</v>
      </c>
      <c r="J207" s="102">
        <v>1</v>
      </c>
      <c r="K207" s="102">
        <v>1</v>
      </c>
      <c r="L207" s="102" t="b">
        <v>0</v>
      </c>
      <c r="M207" s="105">
        <v>42736</v>
      </c>
      <c r="N207" s="102">
        <v>1</v>
      </c>
      <c r="O207" s="102" t="s">
        <v>1157</v>
      </c>
      <c r="P207" s="102" t="s">
        <v>1158</v>
      </c>
      <c r="Q207" s="102" t="s">
        <v>1159</v>
      </c>
      <c r="R207" s="102" t="s">
        <v>1160</v>
      </c>
      <c r="S207" s="102">
        <v>0</v>
      </c>
      <c r="T207" s="103" t="s">
        <v>17</v>
      </c>
      <c r="U207" s="103" t="s">
        <v>700</v>
      </c>
    </row>
    <row r="208" ht="20.4" spans="1:21">
      <c r="A208" s="97">
        <v>207</v>
      </c>
      <c r="B208" s="98">
        <v>45543</v>
      </c>
      <c r="C208" s="106" t="s">
        <v>31</v>
      </c>
      <c r="D208" s="106">
        <v>3</v>
      </c>
      <c r="E208" s="106" t="s">
        <v>659</v>
      </c>
      <c r="F208" s="97" t="s">
        <v>933</v>
      </c>
      <c r="G208" s="106">
        <v>36</v>
      </c>
      <c r="H208" s="102" t="b">
        <v>0</v>
      </c>
      <c r="I208" s="105">
        <v>42736</v>
      </c>
      <c r="J208" s="102">
        <v>1</v>
      </c>
      <c r="K208" s="102">
        <v>1</v>
      </c>
      <c r="L208" s="102" t="b">
        <v>0</v>
      </c>
      <c r="M208" s="105">
        <v>42736</v>
      </c>
      <c r="N208" s="102">
        <v>1</v>
      </c>
      <c r="O208" s="102" t="s">
        <v>1157</v>
      </c>
      <c r="P208" s="102" t="s">
        <v>1158</v>
      </c>
      <c r="Q208" s="102" t="s">
        <v>1159</v>
      </c>
      <c r="R208" s="102" t="s">
        <v>1160</v>
      </c>
      <c r="S208" s="102">
        <v>0</v>
      </c>
      <c r="T208" s="103" t="s">
        <v>17</v>
      </c>
      <c r="U208" s="103" t="s">
        <v>701</v>
      </c>
    </row>
    <row r="209" ht="20.4" spans="1:21">
      <c r="A209" s="97">
        <v>208</v>
      </c>
      <c r="B209" s="98">
        <v>45543</v>
      </c>
      <c r="C209" s="106" t="s">
        <v>31</v>
      </c>
      <c r="D209" s="106">
        <v>3</v>
      </c>
      <c r="E209" s="106" t="s">
        <v>664</v>
      </c>
      <c r="F209" s="101" t="s">
        <v>891</v>
      </c>
      <c r="G209" s="106">
        <v>174</v>
      </c>
      <c r="H209" s="102" t="b">
        <v>0</v>
      </c>
      <c r="I209" s="105">
        <v>42736</v>
      </c>
      <c r="J209" s="102">
        <v>1</v>
      </c>
      <c r="K209" s="102">
        <v>1</v>
      </c>
      <c r="L209" s="102" t="b">
        <v>0</v>
      </c>
      <c r="M209" s="105">
        <v>42736</v>
      </c>
      <c r="N209" s="102">
        <v>1</v>
      </c>
      <c r="O209" s="102" t="s">
        <v>1157</v>
      </c>
      <c r="P209" s="102" t="s">
        <v>1158</v>
      </c>
      <c r="Q209" s="102" t="s">
        <v>1159</v>
      </c>
      <c r="R209" s="102" t="s">
        <v>1160</v>
      </c>
      <c r="S209" s="102">
        <v>0</v>
      </c>
      <c r="T209" s="103" t="s">
        <v>17</v>
      </c>
      <c r="U209" s="103" t="s">
        <v>701</v>
      </c>
    </row>
    <row r="210" ht="20.4" spans="1:21">
      <c r="A210" s="97">
        <v>209</v>
      </c>
      <c r="B210" s="98">
        <v>45543</v>
      </c>
      <c r="C210" s="106" t="s">
        <v>31</v>
      </c>
      <c r="D210" s="106">
        <v>3</v>
      </c>
      <c r="E210" s="106" t="s">
        <v>807</v>
      </c>
      <c r="F210" s="101" t="s">
        <v>877</v>
      </c>
      <c r="G210" s="106">
        <v>30</v>
      </c>
      <c r="H210" s="102" t="b">
        <v>0</v>
      </c>
      <c r="I210" s="105">
        <v>42736</v>
      </c>
      <c r="J210" s="102">
        <v>1</v>
      </c>
      <c r="K210" s="102">
        <v>1</v>
      </c>
      <c r="L210" s="102" t="b">
        <v>0</v>
      </c>
      <c r="M210" s="105">
        <v>42736</v>
      </c>
      <c r="N210" s="102">
        <v>1</v>
      </c>
      <c r="O210" s="102" t="s">
        <v>1157</v>
      </c>
      <c r="P210" s="102" t="s">
        <v>1158</v>
      </c>
      <c r="Q210" s="102" t="s">
        <v>1159</v>
      </c>
      <c r="R210" s="102" t="s">
        <v>1160</v>
      </c>
      <c r="S210" s="102">
        <v>0</v>
      </c>
      <c r="T210" s="103" t="s">
        <v>17</v>
      </c>
      <c r="U210" s="103" t="s">
        <v>701</v>
      </c>
    </row>
    <row r="211" ht="40.8" spans="1:21">
      <c r="A211" s="97">
        <v>210</v>
      </c>
      <c r="B211" s="98">
        <v>45543</v>
      </c>
      <c r="C211" s="106" t="s">
        <v>80</v>
      </c>
      <c r="D211" s="106">
        <v>2</v>
      </c>
      <c r="E211" s="106" t="s">
        <v>671</v>
      </c>
      <c r="F211" s="101" t="s">
        <v>934</v>
      </c>
      <c r="G211" s="106">
        <v>378</v>
      </c>
      <c r="H211" s="102" t="b">
        <v>0</v>
      </c>
      <c r="I211" s="105">
        <v>42736</v>
      </c>
      <c r="J211" s="102">
        <v>1</v>
      </c>
      <c r="K211" s="102">
        <v>1</v>
      </c>
      <c r="L211" s="102" t="b">
        <v>0</v>
      </c>
      <c r="M211" s="105">
        <v>42736</v>
      </c>
      <c r="N211" s="102">
        <v>1</v>
      </c>
      <c r="O211" s="102" t="s">
        <v>1157</v>
      </c>
      <c r="P211" s="102" t="s">
        <v>1158</v>
      </c>
      <c r="Q211" s="102" t="s">
        <v>1159</v>
      </c>
      <c r="R211" s="102" t="s">
        <v>1160</v>
      </c>
      <c r="S211" s="102">
        <v>0</v>
      </c>
      <c r="T211" s="103" t="s">
        <v>17</v>
      </c>
      <c r="U211" s="103" t="s">
        <v>701</v>
      </c>
    </row>
    <row r="212" ht="20.4" spans="1:21">
      <c r="A212" s="97">
        <v>211</v>
      </c>
      <c r="B212" s="98">
        <v>45543</v>
      </c>
      <c r="C212" s="106" t="s">
        <v>80</v>
      </c>
      <c r="D212" s="106">
        <v>2</v>
      </c>
      <c r="E212" s="106" t="s">
        <v>675</v>
      </c>
      <c r="F212" s="97" t="s">
        <v>880</v>
      </c>
      <c r="G212" s="106">
        <v>50</v>
      </c>
      <c r="H212" s="102" t="b">
        <v>0</v>
      </c>
      <c r="I212" s="105">
        <v>42736</v>
      </c>
      <c r="J212" s="102">
        <v>1</v>
      </c>
      <c r="K212" s="102">
        <v>1</v>
      </c>
      <c r="L212" s="102" t="b">
        <v>0</v>
      </c>
      <c r="M212" s="105">
        <v>42736</v>
      </c>
      <c r="N212" s="102">
        <v>1</v>
      </c>
      <c r="O212" s="102" t="s">
        <v>1157</v>
      </c>
      <c r="P212" s="102" t="s">
        <v>1158</v>
      </c>
      <c r="Q212" s="102" t="s">
        <v>1159</v>
      </c>
      <c r="R212" s="102" t="s">
        <v>1160</v>
      </c>
      <c r="S212" s="102">
        <v>0</v>
      </c>
      <c r="T212" s="103" t="s">
        <v>17</v>
      </c>
      <c r="U212" s="103" t="s">
        <v>701</v>
      </c>
    </row>
    <row r="213" ht="20.4" spans="1:21">
      <c r="A213" s="97">
        <v>212</v>
      </c>
      <c r="B213" s="98">
        <v>45543</v>
      </c>
      <c r="C213" s="106" t="s">
        <v>80</v>
      </c>
      <c r="D213" s="106">
        <v>2</v>
      </c>
      <c r="E213" s="107" t="s">
        <v>808</v>
      </c>
      <c r="F213" s="97" t="s">
        <v>868</v>
      </c>
      <c r="G213" s="106">
        <v>58</v>
      </c>
      <c r="H213" s="102" t="b">
        <v>0</v>
      </c>
      <c r="I213" s="105">
        <v>42736</v>
      </c>
      <c r="J213" s="102">
        <v>1</v>
      </c>
      <c r="K213" s="102">
        <v>1</v>
      </c>
      <c r="L213" s="102" t="b">
        <v>0</v>
      </c>
      <c r="M213" s="105">
        <v>42736</v>
      </c>
      <c r="N213" s="102">
        <v>1</v>
      </c>
      <c r="O213" s="102" t="s">
        <v>1157</v>
      </c>
      <c r="P213" s="102" t="s">
        <v>1158</v>
      </c>
      <c r="Q213" s="102" t="s">
        <v>1159</v>
      </c>
      <c r="R213" s="102" t="s">
        <v>1160</v>
      </c>
      <c r="S213" s="102">
        <v>0</v>
      </c>
      <c r="T213" s="103" t="s">
        <v>711</v>
      </c>
      <c r="U213" s="103" t="s">
        <v>701</v>
      </c>
    </row>
    <row r="214" ht="20.4" spans="1:21">
      <c r="A214" s="97">
        <v>213</v>
      </c>
      <c r="B214" s="98">
        <v>45543</v>
      </c>
      <c r="C214" s="106" t="s">
        <v>87</v>
      </c>
      <c r="D214" s="106">
        <v>3</v>
      </c>
      <c r="E214" s="107" t="s">
        <v>809</v>
      </c>
      <c r="F214" s="101" t="s">
        <v>926</v>
      </c>
      <c r="G214" s="106">
        <v>14</v>
      </c>
      <c r="H214" s="102" t="b">
        <v>0</v>
      </c>
      <c r="I214" s="105">
        <v>42736</v>
      </c>
      <c r="J214" s="102">
        <v>1</v>
      </c>
      <c r="K214" s="102">
        <v>1</v>
      </c>
      <c r="L214" s="102" t="b">
        <v>0</v>
      </c>
      <c r="M214" s="105">
        <v>42736</v>
      </c>
      <c r="N214" s="102">
        <v>1</v>
      </c>
      <c r="O214" s="102" t="s">
        <v>1157</v>
      </c>
      <c r="P214" s="102" t="s">
        <v>1158</v>
      </c>
      <c r="Q214" s="102" t="s">
        <v>1159</v>
      </c>
      <c r="R214" s="102" t="s">
        <v>1160</v>
      </c>
      <c r="S214" s="102">
        <v>0</v>
      </c>
      <c r="T214" s="103" t="s">
        <v>17</v>
      </c>
      <c r="U214" s="103" t="s">
        <v>700</v>
      </c>
    </row>
    <row r="215" ht="20.4" spans="1:21">
      <c r="A215" s="97">
        <v>214</v>
      </c>
      <c r="B215" s="98">
        <v>45543</v>
      </c>
      <c r="C215" s="106" t="s">
        <v>87</v>
      </c>
      <c r="D215" s="106">
        <v>3</v>
      </c>
      <c r="E215" s="106" t="s">
        <v>681</v>
      </c>
      <c r="F215" s="97" t="s">
        <v>882</v>
      </c>
      <c r="G215" s="106">
        <v>22</v>
      </c>
      <c r="H215" s="102" t="b">
        <v>0</v>
      </c>
      <c r="I215" s="105">
        <v>42736</v>
      </c>
      <c r="J215" s="102">
        <v>1</v>
      </c>
      <c r="K215" s="102">
        <v>1</v>
      </c>
      <c r="L215" s="102" t="b">
        <v>0</v>
      </c>
      <c r="M215" s="105">
        <v>42736</v>
      </c>
      <c r="N215" s="102">
        <v>1</v>
      </c>
      <c r="O215" s="102" t="s">
        <v>1157</v>
      </c>
      <c r="P215" s="102" t="s">
        <v>1158</v>
      </c>
      <c r="Q215" s="102" t="s">
        <v>1159</v>
      </c>
      <c r="R215" s="102" t="s">
        <v>1160</v>
      </c>
      <c r="S215" s="102">
        <v>0</v>
      </c>
      <c r="T215" s="103" t="s">
        <v>17</v>
      </c>
      <c r="U215" s="103" t="s">
        <v>701</v>
      </c>
    </row>
    <row r="216" ht="20.4" spans="1:21">
      <c r="A216" s="97">
        <v>215</v>
      </c>
      <c r="B216" s="98">
        <v>45543</v>
      </c>
      <c r="C216" s="106" t="s">
        <v>87</v>
      </c>
      <c r="D216" s="106">
        <v>3</v>
      </c>
      <c r="E216" s="106" t="s">
        <v>810</v>
      </c>
      <c r="F216" s="101" t="s">
        <v>923</v>
      </c>
      <c r="G216" s="106">
        <v>12</v>
      </c>
      <c r="H216" s="102" t="b">
        <v>0</v>
      </c>
      <c r="I216" s="105">
        <v>42736</v>
      </c>
      <c r="J216" s="102">
        <v>1</v>
      </c>
      <c r="K216" s="102">
        <v>1</v>
      </c>
      <c r="L216" s="102" t="b">
        <v>0</v>
      </c>
      <c r="M216" s="105">
        <v>42736</v>
      </c>
      <c r="N216" s="102">
        <v>1</v>
      </c>
      <c r="O216" s="102" t="s">
        <v>1157</v>
      </c>
      <c r="P216" s="102" t="s">
        <v>1158</v>
      </c>
      <c r="Q216" s="102" t="s">
        <v>1159</v>
      </c>
      <c r="R216" s="102" t="s">
        <v>1160</v>
      </c>
      <c r="S216" s="102">
        <v>0</v>
      </c>
      <c r="T216" s="103" t="s">
        <v>17</v>
      </c>
      <c r="U216" s="103" t="s">
        <v>731</v>
      </c>
    </row>
    <row r="217" ht="20.4" spans="1:21">
      <c r="A217" s="97">
        <v>216</v>
      </c>
      <c r="B217" s="98">
        <v>45543</v>
      </c>
      <c r="C217" s="106" t="s">
        <v>87</v>
      </c>
      <c r="D217" s="106">
        <v>3</v>
      </c>
      <c r="E217" s="106" t="s">
        <v>811</v>
      </c>
      <c r="F217" s="101" t="s">
        <v>869</v>
      </c>
      <c r="G217" s="106">
        <v>5</v>
      </c>
      <c r="H217" s="102" t="b">
        <v>0</v>
      </c>
      <c r="I217" s="105">
        <v>42736</v>
      </c>
      <c r="J217" s="102">
        <v>1</v>
      </c>
      <c r="K217" s="102">
        <v>1</v>
      </c>
      <c r="L217" s="102" t="b">
        <v>0</v>
      </c>
      <c r="M217" s="105">
        <v>42736</v>
      </c>
      <c r="N217" s="102">
        <v>1</v>
      </c>
      <c r="O217" s="102" t="s">
        <v>1157</v>
      </c>
      <c r="P217" s="102" t="s">
        <v>1158</v>
      </c>
      <c r="Q217" s="102" t="s">
        <v>1159</v>
      </c>
      <c r="R217" s="102" t="s">
        <v>1160</v>
      </c>
      <c r="S217" s="102">
        <v>0</v>
      </c>
      <c r="T217" s="103" t="s">
        <v>711</v>
      </c>
      <c r="U217" s="103" t="s">
        <v>701</v>
      </c>
    </row>
    <row r="218" ht="20.4" spans="1:21">
      <c r="A218" s="97">
        <v>217</v>
      </c>
      <c r="B218" s="98">
        <v>45543</v>
      </c>
      <c r="C218" s="106" t="s">
        <v>87</v>
      </c>
      <c r="D218" s="106">
        <v>3</v>
      </c>
      <c r="E218" s="106" t="s">
        <v>812</v>
      </c>
      <c r="F218" s="97" t="s">
        <v>935</v>
      </c>
      <c r="G218" s="106">
        <v>2</v>
      </c>
      <c r="H218" s="102" t="b">
        <v>0</v>
      </c>
      <c r="I218" s="105">
        <v>42736</v>
      </c>
      <c r="J218" s="102">
        <v>1</v>
      </c>
      <c r="K218" s="102">
        <v>1</v>
      </c>
      <c r="L218" s="102" t="b">
        <v>0</v>
      </c>
      <c r="M218" s="105">
        <v>42736</v>
      </c>
      <c r="N218" s="102">
        <v>1</v>
      </c>
      <c r="O218" s="102" t="s">
        <v>1157</v>
      </c>
      <c r="P218" s="102" t="s">
        <v>1158</v>
      </c>
      <c r="Q218" s="102" t="s">
        <v>1159</v>
      </c>
      <c r="R218" s="102" t="s">
        <v>1160</v>
      </c>
      <c r="S218" s="102">
        <v>0</v>
      </c>
      <c r="T218" s="103" t="s">
        <v>17</v>
      </c>
      <c r="U218" s="103" t="s">
        <v>700</v>
      </c>
    </row>
    <row r="219" ht="20.4" spans="1:21">
      <c r="A219" s="97">
        <v>218</v>
      </c>
      <c r="B219" s="98">
        <v>45543</v>
      </c>
      <c r="C219" s="106" t="s">
        <v>87</v>
      </c>
      <c r="D219" s="106">
        <v>3</v>
      </c>
      <c r="E219" s="106" t="s">
        <v>690</v>
      </c>
      <c r="F219" s="97" t="s">
        <v>936</v>
      </c>
      <c r="G219" s="106">
        <v>94</v>
      </c>
      <c r="H219" s="102" t="b">
        <v>0</v>
      </c>
      <c r="I219" s="105">
        <v>42736</v>
      </c>
      <c r="J219" s="102">
        <v>1</v>
      </c>
      <c r="K219" s="102">
        <v>1</v>
      </c>
      <c r="L219" s="102" t="b">
        <v>0</v>
      </c>
      <c r="M219" s="105">
        <v>42736</v>
      </c>
      <c r="N219" s="102">
        <v>1</v>
      </c>
      <c r="O219" s="102" t="s">
        <v>1157</v>
      </c>
      <c r="P219" s="102" t="s">
        <v>1158</v>
      </c>
      <c r="Q219" s="102" t="s">
        <v>1159</v>
      </c>
      <c r="R219" s="102" t="s">
        <v>1160</v>
      </c>
      <c r="S219" s="102">
        <v>0</v>
      </c>
      <c r="T219" s="103" t="s">
        <v>17</v>
      </c>
      <c r="U219" s="103" t="s">
        <v>701</v>
      </c>
    </row>
    <row r="220" ht="20.4" spans="1:21">
      <c r="A220" s="97">
        <v>219</v>
      </c>
      <c r="B220" s="98">
        <v>45543</v>
      </c>
      <c r="C220" s="106" t="s">
        <v>87</v>
      </c>
      <c r="D220" s="106">
        <v>3</v>
      </c>
      <c r="E220" s="106" t="s">
        <v>813</v>
      </c>
      <c r="F220" s="101" t="s">
        <v>877</v>
      </c>
      <c r="G220" s="106">
        <v>30</v>
      </c>
      <c r="H220" s="102" t="b">
        <v>0</v>
      </c>
      <c r="I220" s="105">
        <v>42736</v>
      </c>
      <c r="J220" s="102">
        <v>1</v>
      </c>
      <c r="K220" s="102">
        <v>1</v>
      </c>
      <c r="L220" s="102" t="b">
        <v>0</v>
      </c>
      <c r="M220" s="105">
        <v>42736</v>
      </c>
      <c r="N220" s="102">
        <v>1</v>
      </c>
      <c r="O220" s="102" t="s">
        <v>1157</v>
      </c>
      <c r="P220" s="102" t="s">
        <v>1158</v>
      </c>
      <c r="Q220" s="102" t="s">
        <v>1159</v>
      </c>
      <c r="R220" s="102" t="s">
        <v>1160</v>
      </c>
      <c r="S220" s="102">
        <v>0</v>
      </c>
      <c r="T220" s="103" t="s">
        <v>17</v>
      </c>
      <c r="U220" s="103" t="s">
        <v>701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N288"/>
  <sheetViews>
    <sheetView zoomScale="98" zoomScaleNormal="98" topLeftCell="A11" workbookViewId="0">
      <selection activeCell="I6" sqref="I6"/>
    </sheetView>
  </sheetViews>
  <sheetFormatPr defaultColWidth="9" defaultRowHeight="13.8"/>
  <cols>
    <col min="1" max="1" width="4.37962962962963" style="63" customWidth="1"/>
    <col min="2" max="2" width="3.62962962962963" style="63" customWidth="1"/>
    <col min="3" max="3" width="11" style="64" customWidth="1"/>
    <col min="4" max="4" width="13.6296296296296" style="64" customWidth="1"/>
    <col min="5" max="5" width="10" style="63" customWidth="1"/>
    <col min="6" max="6" width="103.12962962963" style="64" customWidth="1"/>
    <col min="7" max="7" width="9.75" style="64" customWidth="1"/>
    <col min="8" max="8" width="20" style="63" customWidth="1"/>
    <col min="9" max="9" width="82.3796296296296" style="64" customWidth="1"/>
    <col min="10" max="10" width="24.3796296296296" style="64" customWidth="1"/>
    <col min="11" max="11" width="9.75" style="64" customWidth="1"/>
    <col min="12" max="13" width="9" style="65" customWidth="1"/>
    <col min="14" max="14" width="29.1296296296296" style="64" customWidth="1"/>
    <col min="15" max="16384" width="9" style="64"/>
  </cols>
  <sheetData>
    <row r="1" ht="17.4" spans="3:13">
      <c r="C1" s="66"/>
      <c r="D1" s="66"/>
      <c r="E1" s="67"/>
      <c r="F1" s="66" t="s">
        <v>1161</v>
      </c>
      <c r="G1" s="66"/>
      <c r="H1" s="67"/>
      <c r="I1" s="66"/>
      <c r="J1" s="82"/>
      <c r="K1" s="66"/>
      <c r="L1" s="83"/>
      <c r="M1" s="83"/>
    </row>
    <row r="2" ht="17.4" spans="3:13">
      <c r="C2" s="68"/>
      <c r="D2" s="68"/>
      <c r="E2" s="68"/>
      <c r="F2" s="68"/>
      <c r="G2" s="68"/>
      <c r="H2" s="69"/>
      <c r="I2" s="68"/>
      <c r="J2" s="84"/>
      <c r="K2" s="68"/>
      <c r="L2" s="68"/>
      <c r="M2" s="68"/>
    </row>
    <row r="3" ht="21" spans="1:13">
      <c r="A3" s="70" t="s">
        <v>817</v>
      </c>
      <c r="B3" s="70" t="s">
        <v>937</v>
      </c>
      <c r="C3" s="3" t="s">
        <v>1162</v>
      </c>
      <c r="D3" s="3" t="s">
        <v>3</v>
      </c>
      <c r="E3" s="3" t="s">
        <v>693</v>
      </c>
      <c r="F3" s="3" t="s">
        <v>5</v>
      </c>
      <c r="G3" s="3" t="s">
        <v>1163</v>
      </c>
      <c r="H3" s="3" t="s">
        <v>7</v>
      </c>
      <c r="I3" s="3" t="s">
        <v>8</v>
      </c>
      <c r="J3" s="3" t="s">
        <v>695</v>
      </c>
      <c r="K3" s="3" t="s">
        <v>1164</v>
      </c>
      <c r="L3" s="45" t="s">
        <v>10</v>
      </c>
      <c r="M3" s="85"/>
    </row>
    <row r="4" ht="20.4" spans="1:14">
      <c r="A4" s="71">
        <v>1</v>
      </c>
      <c r="B4" s="71">
        <v>1</v>
      </c>
      <c r="C4" s="72">
        <v>45535</v>
      </c>
      <c r="D4" s="14" t="s">
        <v>11</v>
      </c>
      <c r="E4" s="73">
        <v>2</v>
      </c>
      <c r="F4" s="29" t="s">
        <v>699</v>
      </c>
      <c r="G4" s="73">
        <v>28</v>
      </c>
      <c r="H4" s="14" t="s">
        <v>13</v>
      </c>
      <c r="I4" s="5" t="s">
        <v>944</v>
      </c>
      <c r="J4" s="5" t="s">
        <v>827</v>
      </c>
      <c r="K4" s="47" t="s">
        <v>16</v>
      </c>
      <c r="L4" s="46" t="s">
        <v>17</v>
      </c>
      <c r="M4" s="86"/>
      <c r="N4" s="64" t="str">
        <f>TRIM(F4)</f>
        <v>513 427-2560 : POLYMER MATERIALS (ฟ้า)</v>
      </c>
    </row>
    <row r="5" ht="20.4" spans="1:14">
      <c r="A5" s="71">
        <v>2</v>
      </c>
      <c r="B5" s="71">
        <v>2</v>
      </c>
      <c r="C5" s="74">
        <v>45535</v>
      </c>
      <c r="D5" s="18" t="s">
        <v>11</v>
      </c>
      <c r="E5" s="75">
        <v>2</v>
      </c>
      <c r="F5" s="32" t="s">
        <v>20</v>
      </c>
      <c r="G5" s="75">
        <v>44</v>
      </c>
      <c r="H5" s="18" t="s">
        <v>13</v>
      </c>
      <c r="I5" s="6" t="s">
        <v>944</v>
      </c>
      <c r="J5" s="32" t="s">
        <v>828</v>
      </c>
      <c r="K5" s="49" t="s">
        <v>16</v>
      </c>
      <c r="L5" s="48" t="s">
        <v>17</v>
      </c>
      <c r="M5" s="86"/>
      <c r="N5" s="64" t="str">
        <f t="shared" ref="N5:N68" si="0">TRIM(F5)</f>
        <v>523 201-165 : CHEMICAL AND MICROBIOLOGICAL SAFETY</v>
      </c>
    </row>
    <row r="6" ht="20.4" spans="1:14">
      <c r="A6" s="71">
        <v>3</v>
      </c>
      <c r="B6" s="71">
        <v>3</v>
      </c>
      <c r="C6" s="74">
        <v>45535</v>
      </c>
      <c r="D6" s="18" t="s">
        <v>11</v>
      </c>
      <c r="E6" s="75">
        <v>2</v>
      </c>
      <c r="F6" s="32" t="s">
        <v>23</v>
      </c>
      <c r="G6" s="75">
        <v>48</v>
      </c>
      <c r="H6" s="18" t="s">
        <v>24</v>
      </c>
      <c r="I6" s="6" t="s">
        <v>945</v>
      </c>
      <c r="J6" s="6" t="s">
        <v>829</v>
      </c>
      <c r="K6" s="49" t="s">
        <v>16</v>
      </c>
      <c r="L6" s="48" t="s">
        <v>17</v>
      </c>
      <c r="M6" s="86"/>
      <c r="N6" s="64" t="str">
        <f t="shared" si="0"/>
        <v>515 104-165 : STATISTICS FOR COMPUTING</v>
      </c>
    </row>
    <row r="7" ht="20.4" spans="1:14">
      <c r="A7" s="71">
        <v>3</v>
      </c>
      <c r="B7" s="71">
        <v>4</v>
      </c>
      <c r="C7" s="74">
        <v>45535</v>
      </c>
      <c r="D7" s="18" t="s">
        <v>11</v>
      </c>
      <c r="E7" s="75">
        <v>2</v>
      </c>
      <c r="F7" s="32" t="s">
        <v>23</v>
      </c>
      <c r="G7" s="75">
        <v>27</v>
      </c>
      <c r="H7" s="18" t="s">
        <v>27</v>
      </c>
      <c r="I7" s="6" t="s">
        <v>946</v>
      </c>
      <c r="J7" s="6" t="s">
        <v>829</v>
      </c>
      <c r="K7" s="49" t="s">
        <v>16</v>
      </c>
      <c r="L7" s="48" t="s">
        <v>17</v>
      </c>
      <c r="M7" s="86"/>
      <c r="N7" s="64" t="str">
        <f t="shared" si="0"/>
        <v>515 104-165 : STATISTICS FOR COMPUTING</v>
      </c>
    </row>
    <row r="8" ht="20.4" spans="1:14">
      <c r="A8" s="71">
        <v>3</v>
      </c>
      <c r="B8" s="71">
        <v>5</v>
      </c>
      <c r="C8" s="74">
        <v>45535</v>
      </c>
      <c r="D8" s="18" t="s">
        <v>11</v>
      </c>
      <c r="E8" s="75">
        <v>2</v>
      </c>
      <c r="F8" s="32" t="s">
        <v>29</v>
      </c>
      <c r="G8" s="75">
        <v>17</v>
      </c>
      <c r="H8" s="18" t="s">
        <v>27</v>
      </c>
      <c r="I8" s="6" t="s">
        <v>946</v>
      </c>
      <c r="J8" s="6" t="s">
        <v>829</v>
      </c>
      <c r="K8" s="49" t="s">
        <v>16</v>
      </c>
      <c r="L8" s="48" t="s">
        <v>17</v>
      </c>
      <c r="M8" s="86"/>
      <c r="N8" s="64" t="str">
        <f t="shared" si="0"/>
        <v>515 201-59 : ELEMENTARY STATISTICS กลุ่ม 3</v>
      </c>
    </row>
    <row r="9" ht="20.4" spans="1:14">
      <c r="A9" s="71">
        <v>3</v>
      </c>
      <c r="B9" s="71">
        <v>6</v>
      </c>
      <c r="C9" s="74">
        <v>45535</v>
      </c>
      <c r="D9" s="18" t="s">
        <v>11</v>
      </c>
      <c r="E9" s="75">
        <v>2</v>
      </c>
      <c r="F9" s="32" t="s">
        <v>30</v>
      </c>
      <c r="G9" s="75">
        <v>42</v>
      </c>
      <c r="H9" s="18" t="s">
        <v>27</v>
      </c>
      <c r="I9" s="6" t="s">
        <v>946</v>
      </c>
      <c r="J9" s="6" t="s">
        <v>829</v>
      </c>
      <c r="K9" s="49" t="s">
        <v>16</v>
      </c>
      <c r="L9" s="48" t="s">
        <v>17</v>
      </c>
      <c r="M9" s="86"/>
      <c r="N9" s="64" t="str">
        <f t="shared" si="0"/>
        <v>515 201-165 : ELEMENTARY STATISTICS</v>
      </c>
    </row>
    <row r="10" ht="20.4" spans="1:14">
      <c r="A10" s="71">
        <v>4</v>
      </c>
      <c r="B10" s="71">
        <v>7</v>
      </c>
      <c r="C10" s="74">
        <v>45535</v>
      </c>
      <c r="D10" s="18" t="s">
        <v>31</v>
      </c>
      <c r="E10" s="75">
        <v>3</v>
      </c>
      <c r="F10" s="32" t="s">
        <v>32</v>
      </c>
      <c r="G10" s="75">
        <v>126</v>
      </c>
      <c r="H10" s="18" t="s">
        <v>33</v>
      </c>
      <c r="I10" s="6" t="s">
        <v>947</v>
      </c>
      <c r="J10" s="32" t="s">
        <v>830</v>
      </c>
      <c r="K10" s="49" t="s">
        <v>16</v>
      </c>
      <c r="L10" s="48" t="s">
        <v>36</v>
      </c>
      <c r="M10" s="86"/>
      <c r="N10" s="64" t="str">
        <f t="shared" si="0"/>
        <v>511 100-165 : PRECALCULUS</v>
      </c>
    </row>
    <row r="11" ht="40.8" spans="1:14">
      <c r="A11" s="71">
        <v>5</v>
      </c>
      <c r="B11" s="71">
        <v>8</v>
      </c>
      <c r="C11" s="74">
        <v>45535</v>
      </c>
      <c r="D11" s="18" t="s">
        <v>31</v>
      </c>
      <c r="E11" s="75">
        <v>3</v>
      </c>
      <c r="F11" s="32" t="s">
        <v>38</v>
      </c>
      <c r="G11" s="75">
        <v>239</v>
      </c>
      <c r="H11" s="18" t="s">
        <v>39</v>
      </c>
      <c r="I11" s="6" t="s">
        <v>948</v>
      </c>
      <c r="J11" s="32" t="s">
        <v>831</v>
      </c>
      <c r="K11" s="49" t="s">
        <v>16</v>
      </c>
      <c r="L11" s="48" t="s">
        <v>36</v>
      </c>
      <c r="M11" s="86"/>
      <c r="N11" s="64" t="str">
        <f t="shared" si="0"/>
        <v>511 101-165 : CALCULUS I</v>
      </c>
    </row>
    <row r="12" ht="61.2" spans="1:14">
      <c r="A12" s="71">
        <v>6</v>
      </c>
      <c r="B12" s="71">
        <v>9</v>
      </c>
      <c r="C12" s="74">
        <v>45535</v>
      </c>
      <c r="D12" s="18" t="s">
        <v>31</v>
      </c>
      <c r="E12" s="75">
        <v>3</v>
      </c>
      <c r="F12" s="32" t="s">
        <v>43</v>
      </c>
      <c r="G12" s="75">
        <v>400</v>
      </c>
      <c r="H12" s="18" t="s">
        <v>44</v>
      </c>
      <c r="I12" s="6" t="s">
        <v>949</v>
      </c>
      <c r="J12" s="32" t="s">
        <v>832</v>
      </c>
      <c r="K12" s="49" t="s">
        <v>16</v>
      </c>
      <c r="L12" s="48" t="s">
        <v>36</v>
      </c>
      <c r="M12" s="86"/>
      <c r="N12" s="64" t="str">
        <f t="shared" si="0"/>
        <v>511 104-2560-165 : CALCULUS FOR ENGINEERS I</v>
      </c>
    </row>
    <row r="13" ht="20.4" spans="1:14">
      <c r="A13" s="71">
        <v>7</v>
      </c>
      <c r="B13" s="71">
        <v>10</v>
      </c>
      <c r="C13" s="74">
        <v>45535</v>
      </c>
      <c r="D13" s="18" t="s">
        <v>31</v>
      </c>
      <c r="E13" s="75">
        <v>3</v>
      </c>
      <c r="F13" s="32" t="s">
        <v>48</v>
      </c>
      <c r="G13" s="75">
        <v>58</v>
      </c>
      <c r="H13" s="18" t="s">
        <v>49</v>
      </c>
      <c r="I13" s="6" t="s">
        <v>950</v>
      </c>
      <c r="J13" s="32" t="s">
        <v>831</v>
      </c>
      <c r="K13" s="49" t="s">
        <v>16</v>
      </c>
      <c r="L13" s="48" t="s">
        <v>17</v>
      </c>
      <c r="M13" s="86"/>
      <c r="N13" s="64" t="str">
        <f t="shared" si="0"/>
        <v>511 119-167 : CALCULUS FOR MATHEMATICS TEACHERS I</v>
      </c>
    </row>
    <row r="14" ht="20.4" spans="1:14">
      <c r="A14" s="71">
        <v>8</v>
      </c>
      <c r="B14" s="71">
        <v>11</v>
      </c>
      <c r="C14" s="74">
        <v>45535</v>
      </c>
      <c r="D14" s="18" t="s">
        <v>31</v>
      </c>
      <c r="E14" s="75">
        <v>3</v>
      </c>
      <c r="F14" s="32" t="s">
        <v>52</v>
      </c>
      <c r="G14" s="75">
        <v>24</v>
      </c>
      <c r="H14" s="18" t="s">
        <v>53</v>
      </c>
      <c r="I14" s="6" t="s">
        <v>951</v>
      </c>
      <c r="J14" s="32" t="s">
        <v>833</v>
      </c>
      <c r="K14" s="49" t="s">
        <v>16</v>
      </c>
      <c r="L14" s="48" t="s">
        <v>17</v>
      </c>
      <c r="M14" s="86"/>
      <c r="N14" s="64" t="str">
        <f t="shared" si="0"/>
        <v>512 101-2562 : GENERAL BIOLOGY I</v>
      </c>
    </row>
    <row r="15" ht="40.8" spans="1:14">
      <c r="A15" s="71">
        <v>9</v>
      </c>
      <c r="B15" s="71">
        <v>12</v>
      </c>
      <c r="C15" s="74">
        <v>45535</v>
      </c>
      <c r="D15" s="18" t="s">
        <v>31</v>
      </c>
      <c r="E15" s="75">
        <v>3</v>
      </c>
      <c r="F15" s="32" t="s">
        <v>57</v>
      </c>
      <c r="G15" s="75">
        <v>136</v>
      </c>
      <c r="H15" s="18" t="s">
        <v>58</v>
      </c>
      <c r="I15" s="6" t="s">
        <v>952</v>
      </c>
      <c r="J15" s="32" t="s">
        <v>834</v>
      </c>
      <c r="K15" s="49" t="s">
        <v>16</v>
      </c>
      <c r="L15" s="48" t="s">
        <v>36</v>
      </c>
      <c r="M15" s="86"/>
      <c r="N15" s="64" t="str">
        <f t="shared" si="0"/>
        <v>512 105-165 : FUNDAMENTAL BIOLOGY</v>
      </c>
    </row>
    <row r="16" ht="20.4" spans="1:14">
      <c r="A16" s="71">
        <v>10</v>
      </c>
      <c r="B16" s="71">
        <v>13</v>
      </c>
      <c r="C16" s="74">
        <v>45535</v>
      </c>
      <c r="D16" s="18" t="s">
        <v>31</v>
      </c>
      <c r="E16" s="75">
        <v>3</v>
      </c>
      <c r="F16" s="32" t="s">
        <v>62</v>
      </c>
      <c r="G16" s="75">
        <v>63</v>
      </c>
      <c r="H16" s="18" t="s">
        <v>63</v>
      </c>
      <c r="I16" s="6" t="s">
        <v>953</v>
      </c>
      <c r="J16" s="32" t="s">
        <v>835</v>
      </c>
      <c r="K16" s="49" t="s">
        <v>16</v>
      </c>
      <c r="L16" s="48" t="s">
        <v>17</v>
      </c>
      <c r="M16" s="86"/>
      <c r="N16" s="64" t="str">
        <f t="shared" si="0"/>
        <v>512 333-2560-165 : ANIMAL PHYSIOLOGY</v>
      </c>
    </row>
    <row r="17" ht="20.4" spans="1:14">
      <c r="A17" s="71">
        <v>11</v>
      </c>
      <c r="B17" s="71">
        <v>14</v>
      </c>
      <c r="C17" s="74">
        <v>45535</v>
      </c>
      <c r="D17" s="18" t="s">
        <v>31</v>
      </c>
      <c r="E17" s="75">
        <v>3</v>
      </c>
      <c r="F17" s="32" t="s">
        <v>67</v>
      </c>
      <c r="G17" s="75">
        <v>4</v>
      </c>
      <c r="H17" s="18" t="s">
        <v>68</v>
      </c>
      <c r="I17" s="6" t="s">
        <v>954</v>
      </c>
      <c r="J17" s="6" t="s">
        <v>836</v>
      </c>
      <c r="K17" s="49" t="s">
        <v>16</v>
      </c>
      <c r="L17" s="48" t="s">
        <v>17</v>
      </c>
      <c r="M17" s="86"/>
      <c r="N17" s="64" t="str">
        <f t="shared" si="0"/>
        <v>517 214-2561 : DATA STRUCTURE AND ALGORITHM</v>
      </c>
    </row>
    <row r="18" ht="20.4" spans="1:14">
      <c r="A18" s="71">
        <v>11</v>
      </c>
      <c r="B18" s="71">
        <v>15</v>
      </c>
      <c r="C18" s="74">
        <v>45535</v>
      </c>
      <c r="D18" s="18" t="s">
        <v>31</v>
      </c>
      <c r="E18" s="75">
        <v>3</v>
      </c>
      <c r="F18" s="76" t="s">
        <v>71</v>
      </c>
      <c r="G18" s="75">
        <v>38</v>
      </c>
      <c r="H18" s="18" t="s">
        <v>68</v>
      </c>
      <c r="I18" s="6" t="s">
        <v>954</v>
      </c>
      <c r="J18" s="6" t="s">
        <v>836</v>
      </c>
      <c r="K18" s="49" t="s">
        <v>16</v>
      </c>
      <c r="L18" s="48" t="s">
        <v>17</v>
      </c>
      <c r="M18" s="86"/>
      <c r="N18" s="64" t="str">
        <f t="shared" si="0"/>
        <v>517 214-165 : FUNDAMENTALS OF DATA STRUCTURES FOR DATA SCIENCE</v>
      </c>
    </row>
    <row r="19" ht="40.8" spans="1:14">
      <c r="A19" s="71">
        <v>12</v>
      </c>
      <c r="B19" s="71">
        <v>16</v>
      </c>
      <c r="C19" s="74">
        <v>45535</v>
      </c>
      <c r="D19" s="18" t="s">
        <v>31</v>
      </c>
      <c r="E19" s="75">
        <v>3</v>
      </c>
      <c r="F19" s="32" t="s">
        <v>72</v>
      </c>
      <c r="G19" s="75">
        <v>134</v>
      </c>
      <c r="H19" s="18" t="s">
        <v>73</v>
      </c>
      <c r="I19" s="6" t="s">
        <v>955</v>
      </c>
      <c r="J19" s="6" t="s">
        <v>837</v>
      </c>
      <c r="K19" s="49" t="s">
        <v>16</v>
      </c>
      <c r="L19" s="48" t="s">
        <v>36</v>
      </c>
      <c r="M19" s="86"/>
      <c r="N19" s="64" t="str">
        <f t="shared" si="0"/>
        <v>520 361-165 : SYSTEM ANALYSIS AND DESIGN อ.ปานใจ</v>
      </c>
    </row>
    <row r="20" ht="20.4" spans="1:14">
      <c r="A20" s="71">
        <v>13</v>
      </c>
      <c r="B20" s="71">
        <v>17</v>
      </c>
      <c r="C20" s="74">
        <v>45535</v>
      </c>
      <c r="D20" s="20" t="s">
        <v>31</v>
      </c>
      <c r="E20" s="77">
        <v>3</v>
      </c>
      <c r="F20" s="35" t="s">
        <v>76</v>
      </c>
      <c r="G20" s="77">
        <v>97</v>
      </c>
      <c r="H20" s="20" t="s">
        <v>77</v>
      </c>
      <c r="I20" s="7" t="s">
        <v>956</v>
      </c>
      <c r="J20" s="7" t="s">
        <v>838</v>
      </c>
      <c r="K20" s="51" t="s">
        <v>16</v>
      </c>
      <c r="L20" s="50" t="s">
        <v>17</v>
      </c>
      <c r="M20" s="86"/>
      <c r="N20" s="64" t="str">
        <f t="shared" si="0"/>
        <v>520 361-2560-165 : SYSTEM ANALYSIS AND DESIGN อ.อรวรรณ</v>
      </c>
    </row>
    <row r="21" ht="40.8" spans="1:14">
      <c r="A21" s="71">
        <v>14</v>
      </c>
      <c r="B21" s="71">
        <v>18</v>
      </c>
      <c r="C21" s="74">
        <v>45535</v>
      </c>
      <c r="D21" s="18" t="s">
        <v>80</v>
      </c>
      <c r="E21" s="75">
        <v>2</v>
      </c>
      <c r="F21" s="32" t="s">
        <v>81</v>
      </c>
      <c r="G21" s="75">
        <v>412</v>
      </c>
      <c r="H21" s="18" t="s">
        <v>44</v>
      </c>
      <c r="I21" s="6" t="s">
        <v>957</v>
      </c>
      <c r="J21" s="32" t="s">
        <v>839</v>
      </c>
      <c r="K21" s="49" t="s">
        <v>16</v>
      </c>
      <c r="L21" s="46" t="s">
        <v>36</v>
      </c>
      <c r="M21" s="86"/>
      <c r="N21" s="64" t="str">
        <f t="shared" si="0"/>
        <v>513 343-2560-165 : BIOCHEMISTRY LABORATORY</v>
      </c>
    </row>
    <row r="22" ht="20.4" spans="1:14">
      <c r="A22" s="71">
        <v>14</v>
      </c>
      <c r="B22" s="71">
        <v>19</v>
      </c>
      <c r="C22" s="74">
        <v>45535</v>
      </c>
      <c r="D22" s="18" t="s">
        <v>80</v>
      </c>
      <c r="E22" s="75">
        <v>2</v>
      </c>
      <c r="F22" s="32" t="s">
        <v>85</v>
      </c>
      <c r="G22" s="75">
        <v>11</v>
      </c>
      <c r="H22" s="18" t="s">
        <v>63</v>
      </c>
      <c r="I22" s="6" t="s">
        <v>958</v>
      </c>
      <c r="J22" s="32" t="s">
        <v>839</v>
      </c>
      <c r="K22" s="49" t="s">
        <v>16</v>
      </c>
      <c r="L22" s="48" t="s">
        <v>17</v>
      </c>
      <c r="M22" s="86"/>
      <c r="N22" s="64" t="str">
        <f t="shared" si="0"/>
        <v>513 343-165 : BIOCHEMISTRY LABORATORY</v>
      </c>
    </row>
    <row r="23" ht="40.8" spans="1:14">
      <c r="A23" s="71">
        <v>15</v>
      </c>
      <c r="B23" s="71">
        <v>20</v>
      </c>
      <c r="C23" s="74">
        <v>45535</v>
      </c>
      <c r="D23" s="18" t="s">
        <v>87</v>
      </c>
      <c r="E23" s="75">
        <v>3</v>
      </c>
      <c r="F23" s="32" t="s">
        <v>88</v>
      </c>
      <c r="G23" s="75">
        <v>70</v>
      </c>
      <c r="H23" s="18" t="s">
        <v>13</v>
      </c>
      <c r="I23" s="6" t="s">
        <v>959</v>
      </c>
      <c r="J23" s="6" t="s">
        <v>832</v>
      </c>
      <c r="K23" s="49" t="s">
        <v>16</v>
      </c>
      <c r="L23" s="48" t="s">
        <v>17</v>
      </c>
      <c r="M23" s="86"/>
      <c r="N23" s="64" t="str">
        <f t="shared" si="0"/>
        <v>511 105-165 : CALCULUS FOR MATERIALS ENGINEERS</v>
      </c>
    </row>
    <row r="24" ht="40.8" spans="1:14">
      <c r="A24" s="71">
        <v>15</v>
      </c>
      <c r="B24" s="71">
        <v>21</v>
      </c>
      <c r="C24" s="74">
        <v>45535</v>
      </c>
      <c r="D24" s="18" t="s">
        <v>87</v>
      </c>
      <c r="E24" s="75">
        <v>3</v>
      </c>
      <c r="F24" s="32" t="s">
        <v>88</v>
      </c>
      <c r="G24" s="75">
        <v>70</v>
      </c>
      <c r="H24" s="18" t="s">
        <v>49</v>
      </c>
      <c r="I24" s="6" t="s">
        <v>960</v>
      </c>
      <c r="J24" s="6" t="s">
        <v>832</v>
      </c>
      <c r="K24" s="49" t="s">
        <v>16</v>
      </c>
      <c r="L24" s="48" t="s">
        <v>17</v>
      </c>
      <c r="M24" s="86"/>
      <c r="N24" s="64" t="str">
        <f t="shared" si="0"/>
        <v>511 105-165 : CALCULUS FOR MATERIALS ENGINEERS</v>
      </c>
    </row>
    <row r="25" ht="40.8" spans="1:14">
      <c r="A25" s="71">
        <v>15</v>
      </c>
      <c r="B25" s="71">
        <v>22</v>
      </c>
      <c r="C25" s="74">
        <v>45535</v>
      </c>
      <c r="D25" s="18" t="s">
        <v>87</v>
      </c>
      <c r="E25" s="75">
        <v>3</v>
      </c>
      <c r="F25" s="32" t="s">
        <v>88</v>
      </c>
      <c r="G25" s="75">
        <v>60</v>
      </c>
      <c r="H25" s="18" t="s">
        <v>53</v>
      </c>
      <c r="I25" s="6" t="s">
        <v>961</v>
      </c>
      <c r="J25" s="6" t="s">
        <v>832</v>
      </c>
      <c r="K25" s="49" t="s">
        <v>16</v>
      </c>
      <c r="L25" s="48" t="s">
        <v>17</v>
      </c>
      <c r="M25" s="86"/>
      <c r="N25" s="64" t="str">
        <f t="shared" si="0"/>
        <v>511 105-165 : CALCULUS FOR MATERIALS ENGINEERS</v>
      </c>
    </row>
    <row r="26" ht="40.8" spans="1:14">
      <c r="A26" s="71">
        <v>16</v>
      </c>
      <c r="B26" s="71">
        <v>23</v>
      </c>
      <c r="C26" s="74">
        <v>45535</v>
      </c>
      <c r="D26" s="18" t="s">
        <v>87</v>
      </c>
      <c r="E26" s="75">
        <v>3</v>
      </c>
      <c r="F26" s="32" t="s">
        <v>92</v>
      </c>
      <c r="G26" s="75">
        <v>255</v>
      </c>
      <c r="H26" s="18" t="s">
        <v>58</v>
      </c>
      <c r="I26" s="6" t="s">
        <v>962</v>
      </c>
      <c r="J26" s="6" t="s">
        <v>840</v>
      </c>
      <c r="K26" s="49" t="s">
        <v>16</v>
      </c>
      <c r="L26" s="48" t="s">
        <v>36</v>
      </c>
      <c r="M26" s="86"/>
      <c r="N26" s="64" t="str">
        <f t="shared" si="0"/>
        <v>511 115-165 : CALCULUS FOR INDUSTRIAL ENGINEERS I</v>
      </c>
    </row>
    <row r="27" ht="40.8" spans="1:14">
      <c r="A27" s="71">
        <v>17</v>
      </c>
      <c r="B27" s="71">
        <v>24</v>
      </c>
      <c r="C27" s="74">
        <v>45535</v>
      </c>
      <c r="D27" s="18" t="s">
        <v>87</v>
      </c>
      <c r="E27" s="75">
        <v>3</v>
      </c>
      <c r="F27" s="32" t="s">
        <v>95</v>
      </c>
      <c r="G27" s="75">
        <v>112</v>
      </c>
      <c r="H27" s="18" t="s">
        <v>33</v>
      </c>
      <c r="I27" s="6" t="s">
        <v>963</v>
      </c>
      <c r="J27" s="6" t="s">
        <v>840</v>
      </c>
      <c r="K27" s="49" t="s">
        <v>16</v>
      </c>
      <c r="L27" s="48" t="s">
        <v>97</v>
      </c>
      <c r="M27" s="86"/>
      <c r="N27" s="64" t="str">
        <f t="shared" si="0"/>
        <v>511 117-165 : ESSENTIAL MATHEMATICS FOR CHEMICAL ENGINEERS</v>
      </c>
    </row>
    <row r="28" ht="40.8" spans="1:14">
      <c r="A28" s="71">
        <v>18</v>
      </c>
      <c r="B28" s="71">
        <v>25</v>
      </c>
      <c r="C28" s="74">
        <v>45535</v>
      </c>
      <c r="D28" s="18" t="s">
        <v>87</v>
      </c>
      <c r="E28" s="75">
        <v>3</v>
      </c>
      <c r="F28" s="32" t="s">
        <v>964</v>
      </c>
      <c r="G28" s="75">
        <v>13</v>
      </c>
      <c r="H28" s="18" t="s">
        <v>33</v>
      </c>
      <c r="I28" s="6" t="s">
        <v>963</v>
      </c>
      <c r="J28" s="6" t="s">
        <v>841</v>
      </c>
      <c r="K28" s="49" t="s">
        <v>16</v>
      </c>
      <c r="L28" s="52" t="s">
        <v>101</v>
      </c>
      <c r="M28" s="87"/>
      <c r="N28" s="64" t="str">
        <f t="shared" si="0"/>
        <v>511 482-2560 : SELECTED TOPICS IN MATHEMATICS II (ฟ้า)</v>
      </c>
    </row>
    <row r="29" ht="40.8" spans="1:14">
      <c r="A29" s="71">
        <v>18</v>
      </c>
      <c r="B29" s="71">
        <v>26</v>
      </c>
      <c r="C29" s="74">
        <v>45535</v>
      </c>
      <c r="D29" s="18" t="s">
        <v>87</v>
      </c>
      <c r="E29" s="75">
        <v>3</v>
      </c>
      <c r="F29" s="32" t="s">
        <v>965</v>
      </c>
      <c r="G29" s="75">
        <v>33</v>
      </c>
      <c r="H29" s="18" t="s">
        <v>33</v>
      </c>
      <c r="I29" s="6" t="s">
        <v>963</v>
      </c>
      <c r="J29" s="6" t="s">
        <v>841</v>
      </c>
      <c r="K29" s="49" t="s">
        <v>16</v>
      </c>
      <c r="L29" s="52" t="s">
        <v>101</v>
      </c>
      <c r="M29" s="87"/>
      <c r="N29" s="64" t="str">
        <f t="shared" si="0"/>
        <v>511 485-162 : SELECTED TOPICS IN MATHEMATICS STUDY (ฟ้า)</v>
      </c>
    </row>
    <row r="30" ht="20.4" spans="1:14">
      <c r="A30" s="71">
        <v>19</v>
      </c>
      <c r="B30" s="71">
        <v>27</v>
      </c>
      <c r="C30" s="74">
        <v>45535</v>
      </c>
      <c r="D30" s="18" t="s">
        <v>87</v>
      </c>
      <c r="E30" s="75">
        <v>3</v>
      </c>
      <c r="F30" s="32" t="s">
        <v>103</v>
      </c>
      <c r="G30" s="75">
        <v>24</v>
      </c>
      <c r="H30" s="18" t="s">
        <v>104</v>
      </c>
      <c r="I30" s="6" t="s">
        <v>966</v>
      </c>
      <c r="J30" s="32" t="s">
        <v>833</v>
      </c>
      <c r="K30" s="49" t="s">
        <v>16</v>
      </c>
      <c r="L30" s="48" t="s">
        <v>17</v>
      </c>
      <c r="M30" s="86"/>
      <c r="N30" s="64" t="str">
        <f t="shared" si="0"/>
        <v>512 103-2562 : GENERAL BIOLOGY LABORATORY I</v>
      </c>
    </row>
    <row r="31" ht="40.8" spans="1:14">
      <c r="A31" s="71">
        <v>20</v>
      </c>
      <c r="B31" s="71">
        <v>28</v>
      </c>
      <c r="C31" s="74">
        <v>45535</v>
      </c>
      <c r="D31" s="18" t="s">
        <v>87</v>
      </c>
      <c r="E31" s="75">
        <v>3</v>
      </c>
      <c r="F31" s="32" t="s">
        <v>107</v>
      </c>
      <c r="G31" s="75">
        <v>281</v>
      </c>
      <c r="H31" s="18" t="s">
        <v>39</v>
      </c>
      <c r="I31" s="6" t="s">
        <v>967</v>
      </c>
      <c r="J31" s="32" t="s">
        <v>842</v>
      </c>
      <c r="K31" s="49" t="s">
        <v>16</v>
      </c>
      <c r="L31" s="48" t="s">
        <v>36</v>
      </c>
      <c r="M31" s="86"/>
      <c r="N31" s="64" t="str">
        <f t="shared" si="0"/>
        <v>513 250-2560-165 : ORGANIC CHEMISTRY</v>
      </c>
    </row>
    <row r="32" ht="20.4" spans="1:14">
      <c r="A32" s="71">
        <v>21</v>
      </c>
      <c r="B32" s="71">
        <v>29</v>
      </c>
      <c r="C32" s="74">
        <v>45535</v>
      </c>
      <c r="D32" s="18" t="s">
        <v>87</v>
      </c>
      <c r="E32" s="75">
        <v>3</v>
      </c>
      <c r="F32" s="32" t="s">
        <v>111</v>
      </c>
      <c r="G32" s="75">
        <v>96</v>
      </c>
      <c r="H32" s="18" t="s">
        <v>77</v>
      </c>
      <c r="I32" s="6" t="s">
        <v>968</v>
      </c>
      <c r="J32" s="32" t="s">
        <v>843</v>
      </c>
      <c r="K32" s="49" t="s">
        <v>16</v>
      </c>
      <c r="L32" s="48" t="s">
        <v>17</v>
      </c>
      <c r="M32" s="86"/>
      <c r="N32" s="64" t="str">
        <f t="shared" si="0"/>
        <v>513 257-2560-165 : FUNDAMENTAL ORGANIC CHEMISTRY</v>
      </c>
    </row>
    <row r="33" ht="20.4" spans="1:14">
      <c r="A33" s="71">
        <v>22</v>
      </c>
      <c r="B33" s="71">
        <v>30</v>
      </c>
      <c r="C33" s="74">
        <v>45535</v>
      </c>
      <c r="D33" s="18" t="s">
        <v>87</v>
      </c>
      <c r="E33" s="75">
        <v>3</v>
      </c>
      <c r="F33" s="32" t="s">
        <v>67</v>
      </c>
      <c r="G33" s="75">
        <v>4</v>
      </c>
      <c r="H33" s="18" t="s">
        <v>68</v>
      </c>
      <c r="I33" s="6" t="s">
        <v>954</v>
      </c>
      <c r="J33" s="6" t="s">
        <v>836</v>
      </c>
      <c r="K33" s="49" t="s">
        <v>115</v>
      </c>
      <c r="L33" s="48" t="s">
        <v>17</v>
      </c>
      <c r="M33" s="86"/>
      <c r="N33" s="64" t="str">
        <f t="shared" si="0"/>
        <v>517 214-2561 : DATA STRUCTURE AND ALGORITHM</v>
      </c>
    </row>
    <row r="34" ht="20.4" spans="1:14">
      <c r="A34" s="71">
        <v>22</v>
      </c>
      <c r="B34" s="71">
        <v>31</v>
      </c>
      <c r="C34" s="74">
        <v>45535</v>
      </c>
      <c r="D34" s="18" t="s">
        <v>87</v>
      </c>
      <c r="E34" s="75">
        <v>3</v>
      </c>
      <c r="F34" s="32" t="s">
        <v>71</v>
      </c>
      <c r="G34" s="75">
        <v>38</v>
      </c>
      <c r="H34" s="18" t="s">
        <v>68</v>
      </c>
      <c r="I34" s="6" t="s">
        <v>954</v>
      </c>
      <c r="J34" s="6" t="s">
        <v>836</v>
      </c>
      <c r="K34" s="49" t="s">
        <v>115</v>
      </c>
      <c r="L34" s="48" t="s">
        <v>17</v>
      </c>
      <c r="M34" s="86"/>
      <c r="N34" s="64" t="str">
        <f t="shared" si="0"/>
        <v>517 214-165 : FUNDAMENTALS OF DATA STRUCTURES FOR DATA SCIENCE</v>
      </c>
    </row>
    <row r="35" ht="40.8" spans="1:14">
      <c r="A35" s="71">
        <v>23</v>
      </c>
      <c r="B35" s="71">
        <v>32</v>
      </c>
      <c r="C35" s="74">
        <v>45535</v>
      </c>
      <c r="D35" s="18" t="s">
        <v>87</v>
      </c>
      <c r="E35" s="75">
        <v>3</v>
      </c>
      <c r="F35" s="32" t="s">
        <v>116</v>
      </c>
      <c r="G35" s="75">
        <v>89</v>
      </c>
      <c r="H35" s="18" t="s">
        <v>73</v>
      </c>
      <c r="I35" s="6" t="s">
        <v>969</v>
      </c>
      <c r="J35" s="6" t="s">
        <v>844</v>
      </c>
      <c r="K35" s="49" t="s">
        <v>16</v>
      </c>
      <c r="L35" s="52" t="s">
        <v>119</v>
      </c>
      <c r="M35" s="87"/>
      <c r="N35" s="64" t="str">
        <f t="shared" si="0"/>
        <v>517 212-165 : DISCRETE COMPUTATIONAL STRUCTURES</v>
      </c>
    </row>
    <row r="36" ht="40.8" spans="1:14">
      <c r="A36" s="71">
        <v>23</v>
      </c>
      <c r="B36" s="71">
        <v>33</v>
      </c>
      <c r="C36" s="74">
        <v>45535</v>
      </c>
      <c r="D36" s="18" t="s">
        <v>87</v>
      </c>
      <c r="E36" s="75">
        <v>3</v>
      </c>
      <c r="F36" s="32" t="s">
        <v>120</v>
      </c>
      <c r="G36" s="75">
        <v>16</v>
      </c>
      <c r="H36" s="18" t="s">
        <v>73</v>
      </c>
      <c r="I36" s="6" t="s">
        <v>969</v>
      </c>
      <c r="J36" s="6" t="s">
        <v>844</v>
      </c>
      <c r="K36" s="49" t="s">
        <v>16</v>
      </c>
      <c r="L36" s="52" t="s">
        <v>119</v>
      </c>
      <c r="M36" s="87"/>
      <c r="N36" s="64" t="str">
        <f t="shared" si="0"/>
        <v>517 213-2560 : DISCRETE COMPUTATIONAL STRUCTURES</v>
      </c>
    </row>
    <row r="37" ht="40.8" spans="1:14">
      <c r="A37" s="71">
        <v>24</v>
      </c>
      <c r="B37" s="71">
        <v>34</v>
      </c>
      <c r="C37" s="78">
        <v>45535</v>
      </c>
      <c r="D37" s="20" t="s">
        <v>87</v>
      </c>
      <c r="E37" s="77">
        <v>3</v>
      </c>
      <c r="F37" s="35" t="s">
        <v>708</v>
      </c>
      <c r="G37" s="77">
        <v>57</v>
      </c>
      <c r="H37" s="20" t="s">
        <v>73</v>
      </c>
      <c r="I37" s="7" t="s">
        <v>969</v>
      </c>
      <c r="J37" s="35" t="s">
        <v>845</v>
      </c>
      <c r="K37" s="51" t="s">
        <v>16</v>
      </c>
      <c r="L37" s="50" t="s">
        <v>123</v>
      </c>
      <c r="M37" s="86"/>
      <c r="N37" s="64" t="str">
        <f t="shared" si="0"/>
        <v>524 101-166 : NATURE OF SCIENCE (ฟ้า)</v>
      </c>
    </row>
    <row r="38" ht="40.8" spans="1:14">
      <c r="A38" s="71">
        <v>25</v>
      </c>
      <c r="B38" s="71">
        <v>35</v>
      </c>
      <c r="C38" s="79">
        <v>45536</v>
      </c>
      <c r="D38" s="21" t="s">
        <v>11</v>
      </c>
      <c r="E38" s="80">
        <v>2</v>
      </c>
      <c r="F38" s="39" t="s">
        <v>709</v>
      </c>
      <c r="G38" s="80">
        <v>5</v>
      </c>
      <c r="H38" s="21" t="s">
        <v>33</v>
      </c>
      <c r="I38" s="8" t="s">
        <v>970</v>
      </c>
      <c r="J38" s="8" t="s">
        <v>846</v>
      </c>
      <c r="K38" s="53" t="s">
        <v>16</v>
      </c>
      <c r="L38" s="46" t="s">
        <v>128</v>
      </c>
      <c r="M38" s="86"/>
      <c r="N38" s="64" t="str">
        <f t="shared" si="0"/>
        <v>512 415-2560 : PLANT TISSUE AND CELL CULTURE (ฟ้า)</v>
      </c>
    </row>
    <row r="39" ht="40.8" spans="1:14">
      <c r="A39" s="71">
        <v>26</v>
      </c>
      <c r="B39" s="71">
        <v>36</v>
      </c>
      <c r="C39" s="74">
        <v>45536</v>
      </c>
      <c r="D39" s="18" t="s">
        <v>11</v>
      </c>
      <c r="E39" s="75">
        <v>2</v>
      </c>
      <c r="F39" s="32" t="s">
        <v>131</v>
      </c>
      <c r="G39" s="75">
        <v>95</v>
      </c>
      <c r="H39" s="18" t="s">
        <v>33</v>
      </c>
      <c r="I39" s="6" t="s">
        <v>970</v>
      </c>
      <c r="J39" s="32" t="s">
        <v>847</v>
      </c>
      <c r="K39" s="49" t="s">
        <v>16</v>
      </c>
      <c r="L39" s="48" t="s">
        <v>119</v>
      </c>
      <c r="M39" s="86"/>
      <c r="N39" s="64" t="str">
        <f t="shared" si="0"/>
        <v>513 291-165 : CHEMICAL SAFETY</v>
      </c>
    </row>
    <row r="40" ht="20.4" spans="1:14">
      <c r="A40" s="71">
        <v>27</v>
      </c>
      <c r="B40" s="71">
        <v>37</v>
      </c>
      <c r="C40" s="74">
        <v>45536</v>
      </c>
      <c r="D40" s="18" t="s">
        <v>11</v>
      </c>
      <c r="E40" s="75">
        <v>2</v>
      </c>
      <c r="F40" s="32" t="s">
        <v>710</v>
      </c>
      <c r="G40" s="75">
        <v>20</v>
      </c>
      <c r="H40" s="18" t="s">
        <v>135</v>
      </c>
      <c r="I40" s="6" t="s">
        <v>971</v>
      </c>
      <c r="J40" s="32" t="s">
        <v>848</v>
      </c>
      <c r="K40" s="49" t="s">
        <v>16</v>
      </c>
      <c r="L40" s="48" t="s">
        <v>17</v>
      </c>
      <c r="M40" s="86"/>
      <c r="N40" s="64" t="str">
        <f t="shared" si="0"/>
        <v>513 435-2560-165 : CHEMICAL ANALYSIS OF WATER openbook</v>
      </c>
    </row>
    <row r="41" ht="40.8" spans="1:14">
      <c r="A41" s="71">
        <v>28</v>
      </c>
      <c r="B41" s="71">
        <v>38</v>
      </c>
      <c r="C41" s="74">
        <v>45536</v>
      </c>
      <c r="D41" s="18" t="s">
        <v>11</v>
      </c>
      <c r="E41" s="75">
        <v>2</v>
      </c>
      <c r="F41" s="32" t="s">
        <v>139</v>
      </c>
      <c r="G41" s="75">
        <v>30</v>
      </c>
      <c r="H41" s="18" t="s">
        <v>24</v>
      </c>
      <c r="I41" s="6" t="s">
        <v>972</v>
      </c>
      <c r="J41" s="6" t="s">
        <v>849</v>
      </c>
      <c r="K41" s="49" t="s">
        <v>115</v>
      </c>
      <c r="L41" s="48" t="s">
        <v>17</v>
      </c>
      <c r="M41" s="86"/>
      <c r="N41" s="64" t="str">
        <f t="shared" si="0"/>
        <v>515 105-165 : STATISTICS FOR INFORMATION TECHNOLOGY</v>
      </c>
    </row>
    <row r="42" ht="40.8" spans="1:14">
      <c r="A42" s="71">
        <v>28</v>
      </c>
      <c r="B42" s="71">
        <v>39</v>
      </c>
      <c r="C42" s="74">
        <v>45536</v>
      </c>
      <c r="D42" s="18" t="s">
        <v>11</v>
      </c>
      <c r="E42" s="75">
        <v>2</v>
      </c>
      <c r="F42" s="32" t="s">
        <v>139</v>
      </c>
      <c r="G42" s="75">
        <v>70</v>
      </c>
      <c r="H42" s="18" t="s">
        <v>27</v>
      </c>
      <c r="I42" s="6" t="s">
        <v>144</v>
      </c>
      <c r="J42" s="6" t="s">
        <v>849</v>
      </c>
      <c r="K42" s="49" t="s">
        <v>115</v>
      </c>
      <c r="L42" s="48" t="s">
        <v>17</v>
      </c>
      <c r="M42" s="86"/>
      <c r="N42" s="64" t="str">
        <f t="shared" si="0"/>
        <v>515 105-165 : STATISTICS FOR INFORMATION TECHNOLOGY</v>
      </c>
    </row>
    <row r="43" ht="40.8" spans="1:14">
      <c r="A43" s="71">
        <v>28</v>
      </c>
      <c r="B43" s="71">
        <v>40</v>
      </c>
      <c r="C43" s="74">
        <v>45536</v>
      </c>
      <c r="D43" s="18" t="s">
        <v>11</v>
      </c>
      <c r="E43" s="75">
        <v>2</v>
      </c>
      <c r="F43" s="32" t="s">
        <v>143</v>
      </c>
      <c r="G43" s="75">
        <v>7</v>
      </c>
      <c r="H43" s="18" t="s">
        <v>27</v>
      </c>
      <c r="I43" s="6" t="s">
        <v>144</v>
      </c>
      <c r="J43" s="6" t="s">
        <v>849</v>
      </c>
      <c r="K43" s="49" t="s">
        <v>115</v>
      </c>
      <c r="L43" s="48" t="s">
        <v>17</v>
      </c>
      <c r="M43" s="86"/>
      <c r="N43" s="64" t="str">
        <f t="shared" si="0"/>
        <v>515 201-59 : ELEMENTARY STATISTICS กลุ่ม 2</v>
      </c>
    </row>
    <row r="44" ht="40.8" spans="1:14">
      <c r="A44" s="71">
        <v>29</v>
      </c>
      <c r="B44" s="71">
        <v>41</v>
      </c>
      <c r="C44" s="74">
        <v>45536</v>
      </c>
      <c r="D44" s="18" t="s">
        <v>31</v>
      </c>
      <c r="E44" s="75">
        <v>3</v>
      </c>
      <c r="F44" s="32" t="s">
        <v>145</v>
      </c>
      <c r="G44" s="75">
        <v>344</v>
      </c>
      <c r="H44" s="18" t="s">
        <v>44</v>
      </c>
      <c r="I44" s="6" t="s">
        <v>973</v>
      </c>
      <c r="J44" s="6" t="s">
        <v>850</v>
      </c>
      <c r="K44" s="49" t="s">
        <v>16</v>
      </c>
      <c r="L44" s="52" t="s">
        <v>36</v>
      </c>
      <c r="M44" s="87"/>
      <c r="N44" s="64" t="str">
        <f t="shared" si="0"/>
        <v>511 106-165 : CALCULUS FOR BIOLOGICAL SCIENTISTS I</v>
      </c>
    </row>
    <row r="45" ht="40.8" spans="1:14">
      <c r="A45" s="71">
        <v>29</v>
      </c>
      <c r="B45" s="71">
        <v>42</v>
      </c>
      <c r="C45" s="74">
        <v>45536</v>
      </c>
      <c r="D45" s="18" t="s">
        <v>31</v>
      </c>
      <c r="E45" s="75">
        <v>3</v>
      </c>
      <c r="F45" s="32" t="s">
        <v>148</v>
      </c>
      <c r="G45" s="75">
        <v>38</v>
      </c>
      <c r="H45" s="18" t="s">
        <v>44</v>
      </c>
      <c r="I45" s="6" t="s">
        <v>973</v>
      </c>
      <c r="J45" s="6" t="s">
        <v>850</v>
      </c>
      <c r="K45" s="49" t="s">
        <v>16</v>
      </c>
      <c r="L45" s="52" t="s">
        <v>36</v>
      </c>
      <c r="M45" s="87"/>
      <c r="N45" s="64" t="str">
        <f t="shared" si="0"/>
        <v>511 112-162-167 : CALCULUS FOR PHYSICAL SCIENTISTS</v>
      </c>
    </row>
    <row r="46" ht="40.8" spans="1:14">
      <c r="A46" s="71">
        <v>30</v>
      </c>
      <c r="B46" s="71">
        <v>43</v>
      </c>
      <c r="C46" s="74">
        <v>45536</v>
      </c>
      <c r="D46" s="18" t="s">
        <v>31</v>
      </c>
      <c r="E46" s="75">
        <v>3</v>
      </c>
      <c r="F46" s="32" t="s">
        <v>149</v>
      </c>
      <c r="G46" s="75">
        <v>44</v>
      </c>
      <c r="H46" s="18" t="s">
        <v>13</v>
      </c>
      <c r="I46" s="6" t="s">
        <v>974</v>
      </c>
      <c r="J46" s="6" t="s">
        <v>830</v>
      </c>
      <c r="K46" s="49" t="s">
        <v>16</v>
      </c>
      <c r="L46" s="48" t="s">
        <v>17</v>
      </c>
      <c r="M46" s="86"/>
      <c r="N46" s="64" t="str">
        <f t="shared" si="0"/>
        <v>511 201-162-165 : PRINCIPLES OF MATHEMATICS I</v>
      </c>
    </row>
    <row r="47" ht="20.4" spans="1:14">
      <c r="A47" s="71">
        <v>31</v>
      </c>
      <c r="B47" s="71">
        <v>44</v>
      </c>
      <c r="C47" s="74">
        <v>45536</v>
      </c>
      <c r="D47" s="18" t="s">
        <v>31</v>
      </c>
      <c r="E47" s="75">
        <v>3</v>
      </c>
      <c r="F47" s="32" t="s">
        <v>714</v>
      </c>
      <c r="G47" s="75">
        <v>19</v>
      </c>
      <c r="H47" s="18" t="s">
        <v>73</v>
      </c>
      <c r="I47" s="6" t="s">
        <v>975</v>
      </c>
      <c r="J47" s="32" t="s">
        <v>851</v>
      </c>
      <c r="K47" s="49" t="s">
        <v>16</v>
      </c>
      <c r="L47" s="48" t="s">
        <v>154</v>
      </c>
      <c r="M47" s="86"/>
      <c r="N47" s="64" t="str">
        <f t="shared" si="0"/>
        <v>512 315-165 : PLANT TAXONOMY (ฟ้า)</v>
      </c>
    </row>
    <row r="48" ht="40.8" spans="1:14">
      <c r="A48" s="71">
        <v>32</v>
      </c>
      <c r="B48" s="71">
        <v>45</v>
      </c>
      <c r="C48" s="74">
        <v>45536</v>
      </c>
      <c r="D48" s="18" t="s">
        <v>31</v>
      </c>
      <c r="E48" s="75">
        <v>3</v>
      </c>
      <c r="F48" s="32" t="s">
        <v>156</v>
      </c>
      <c r="G48" s="75">
        <v>83</v>
      </c>
      <c r="H48" s="18" t="s">
        <v>73</v>
      </c>
      <c r="I48" s="6" t="s">
        <v>975</v>
      </c>
      <c r="J48" s="6" t="s">
        <v>852</v>
      </c>
      <c r="K48" s="49" t="s">
        <v>16</v>
      </c>
      <c r="L48" s="48" t="s">
        <v>158</v>
      </c>
      <c r="M48" s="86"/>
      <c r="N48" s="64" t="str">
        <f t="shared" si="0"/>
        <v>517 324-2560-165 : MOBILE APPLICATION DEVELOPMENT</v>
      </c>
    </row>
    <row r="49" ht="40.8" spans="1:14">
      <c r="A49" s="71">
        <v>33</v>
      </c>
      <c r="B49" s="71">
        <v>46</v>
      </c>
      <c r="C49" s="74">
        <v>45536</v>
      </c>
      <c r="D49" s="18" t="s">
        <v>31</v>
      </c>
      <c r="E49" s="75">
        <v>3</v>
      </c>
      <c r="F49" s="32" t="s">
        <v>159</v>
      </c>
      <c r="G49" s="75">
        <v>75</v>
      </c>
      <c r="H49" s="18" t="s">
        <v>68</v>
      </c>
      <c r="I49" s="6" t="s">
        <v>976</v>
      </c>
      <c r="J49" s="6" t="s">
        <v>853</v>
      </c>
      <c r="K49" s="49" t="s">
        <v>115</v>
      </c>
      <c r="L49" s="48" t="s">
        <v>17</v>
      </c>
      <c r="M49" s="86"/>
      <c r="N49" s="64" t="str">
        <f t="shared" si="0"/>
        <v>517 101-165 : DIGITAL LITERACY AND CITIZENSHIP</v>
      </c>
    </row>
    <row r="50" ht="20.4" spans="1:14">
      <c r="A50" s="71">
        <v>34</v>
      </c>
      <c r="B50" s="71">
        <v>47</v>
      </c>
      <c r="C50" s="74">
        <v>45536</v>
      </c>
      <c r="D50" s="18" t="s">
        <v>31</v>
      </c>
      <c r="E50" s="75">
        <v>3</v>
      </c>
      <c r="F50" s="32" t="s">
        <v>162</v>
      </c>
      <c r="G50" s="75">
        <v>8</v>
      </c>
      <c r="H50" s="18" t="s">
        <v>163</v>
      </c>
      <c r="I50" s="6" t="s">
        <v>977</v>
      </c>
      <c r="J50" s="32" t="s">
        <v>854</v>
      </c>
      <c r="K50" s="49" t="s">
        <v>115</v>
      </c>
      <c r="L50" s="48" t="s">
        <v>17</v>
      </c>
      <c r="M50" s="86"/>
      <c r="N50" s="64" t="str">
        <f t="shared" si="0"/>
        <v>519 241-165 : COMPUTATIONAL MATHEMATICS</v>
      </c>
    </row>
    <row r="51" ht="40.8" spans="1:14">
      <c r="A51" s="71">
        <v>35</v>
      </c>
      <c r="B51" s="71">
        <v>48</v>
      </c>
      <c r="C51" s="74">
        <v>45536</v>
      </c>
      <c r="D51" s="18" t="s">
        <v>31</v>
      </c>
      <c r="E51" s="75">
        <v>3</v>
      </c>
      <c r="F51" s="32" t="s">
        <v>717</v>
      </c>
      <c r="G51" s="75">
        <v>47</v>
      </c>
      <c r="H51" s="18" t="s">
        <v>39</v>
      </c>
      <c r="I51" s="6" t="s">
        <v>978</v>
      </c>
      <c r="J51" s="6" t="s">
        <v>855</v>
      </c>
      <c r="K51" s="49" t="s">
        <v>16</v>
      </c>
      <c r="L51" s="48" t="s">
        <v>170</v>
      </c>
      <c r="M51" s="86"/>
      <c r="N51" s="64" t="str">
        <f t="shared" si="0"/>
        <v>511 243-2560-162 : THEORY OF EQUATIONS (ฟ้า)</v>
      </c>
    </row>
    <row r="52" ht="40.8" spans="1:14">
      <c r="A52" s="71">
        <v>36</v>
      </c>
      <c r="B52" s="71">
        <v>49</v>
      </c>
      <c r="C52" s="74">
        <v>45536</v>
      </c>
      <c r="D52" s="22" t="s">
        <v>31</v>
      </c>
      <c r="E52" s="81">
        <v>3</v>
      </c>
      <c r="F52" s="41" t="s">
        <v>171</v>
      </c>
      <c r="G52" s="81">
        <v>107</v>
      </c>
      <c r="H52" s="22" t="s">
        <v>39</v>
      </c>
      <c r="I52" s="9" t="s">
        <v>978</v>
      </c>
      <c r="J52" s="41" t="s">
        <v>856</v>
      </c>
      <c r="K52" s="54" t="s">
        <v>16</v>
      </c>
      <c r="L52" s="48" t="s">
        <v>173</v>
      </c>
      <c r="M52" s="86"/>
      <c r="N52" s="64" t="str">
        <f t="shared" si="0"/>
        <v>520 101-2560-165 : FOUNDATION OF COMPUTER AND INFORMATICS</v>
      </c>
    </row>
    <row r="53" ht="20.4" spans="1:14">
      <c r="A53" s="71">
        <v>37</v>
      </c>
      <c r="B53" s="71">
        <v>50</v>
      </c>
      <c r="C53" s="74">
        <v>45536</v>
      </c>
      <c r="D53" s="20" t="s">
        <v>31</v>
      </c>
      <c r="E53" s="77">
        <v>3</v>
      </c>
      <c r="F53" s="35" t="s">
        <v>979</v>
      </c>
      <c r="G53" s="77">
        <v>4</v>
      </c>
      <c r="H53" s="20" t="s">
        <v>176</v>
      </c>
      <c r="I53" s="7" t="s">
        <v>177</v>
      </c>
      <c r="J53" s="7" t="s">
        <v>858</v>
      </c>
      <c r="K53" s="51" t="s">
        <v>16</v>
      </c>
      <c r="L53" s="50" t="s">
        <v>176</v>
      </c>
      <c r="M53" s="86"/>
      <c r="N53" s="64" t="str">
        <f t="shared" si="0"/>
        <v>515 511-264 : PROBABILITY AND STATISTICAL INFERENCE ป.โท</v>
      </c>
    </row>
    <row r="54" ht="40.8" spans="1:14">
      <c r="A54" s="71">
        <v>38</v>
      </c>
      <c r="B54" s="71">
        <v>51</v>
      </c>
      <c r="C54" s="74">
        <v>45536</v>
      </c>
      <c r="D54" s="21" t="s">
        <v>80</v>
      </c>
      <c r="E54" s="80">
        <v>2</v>
      </c>
      <c r="F54" s="39" t="s">
        <v>180</v>
      </c>
      <c r="G54" s="80">
        <v>414</v>
      </c>
      <c r="H54" s="21" t="s">
        <v>44</v>
      </c>
      <c r="I54" s="8" t="s">
        <v>980</v>
      </c>
      <c r="J54" s="39" t="s">
        <v>848</v>
      </c>
      <c r="K54" s="53" t="s">
        <v>16</v>
      </c>
      <c r="L54" s="55" t="s">
        <v>36</v>
      </c>
      <c r="M54" s="86"/>
      <c r="N54" s="64" t="str">
        <f t="shared" si="0"/>
        <v>513 231-2560-165 : ANALYTICAL CHEMISTRY I</v>
      </c>
    </row>
    <row r="55" ht="40.8" spans="1:14">
      <c r="A55" s="71">
        <v>39</v>
      </c>
      <c r="B55" s="71">
        <v>52</v>
      </c>
      <c r="C55" s="74">
        <v>45536</v>
      </c>
      <c r="D55" s="18" t="s">
        <v>80</v>
      </c>
      <c r="E55" s="75">
        <v>2</v>
      </c>
      <c r="F55" s="32" t="s">
        <v>183</v>
      </c>
      <c r="G55" s="75">
        <v>21</v>
      </c>
      <c r="H55" s="18" t="s">
        <v>13</v>
      </c>
      <c r="I55" s="6" t="s">
        <v>981</v>
      </c>
      <c r="J55" s="6" t="s">
        <v>859</v>
      </c>
      <c r="K55" s="49" t="s">
        <v>16</v>
      </c>
      <c r="L55" s="48" t="s">
        <v>17</v>
      </c>
      <c r="M55" s="86"/>
      <c r="N55" s="64" t="str">
        <f t="shared" si="0"/>
        <v>513 422-2560 : PHYSICAL CHEMISTRY OF MACROMOLECULES</v>
      </c>
    </row>
    <row r="56" ht="20.4" spans="1:14">
      <c r="A56" s="71">
        <v>40</v>
      </c>
      <c r="B56" s="71">
        <v>53</v>
      </c>
      <c r="C56" s="74">
        <v>45536</v>
      </c>
      <c r="D56" s="18" t="s">
        <v>87</v>
      </c>
      <c r="E56" s="75">
        <v>3</v>
      </c>
      <c r="F56" s="32" t="s">
        <v>719</v>
      </c>
      <c r="G56" s="75">
        <v>5</v>
      </c>
      <c r="H56" s="18" t="s">
        <v>49</v>
      </c>
      <c r="I56" s="6" t="s">
        <v>982</v>
      </c>
      <c r="J56" s="6" t="s">
        <v>846</v>
      </c>
      <c r="K56" s="49" t="s">
        <v>16</v>
      </c>
      <c r="L56" s="48" t="s">
        <v>17</v>
      </c>
      <c r="M56" s="86"/>
      <c r="N56" s="64" t="str">
        <f t="shared" si="0"/>
        <v>512 416-2560 : PLANT TISSUE AND CELL CULTURE LABORATORY (ฟ้า)</v>
      </c>
    </row>
    <row r="57" ht="20.4" spans="1:14">
      <c r="A57" s="71">
        <v>41</v>
      </c>
      <c r="B57" s="71">
        <v>54</v>
      </c>
      <c r="C57" s="74">
        <v>45536</v>
      </c>
      <c r="D57" s="18" t="s">
        <v>87</v>
      </c>
      <c r="E57" s="75">
        <v>3</v>
      </c>
      <c r="F57" s="32" t="s">
        <v>188</v>
      </c>
      <c r="G57" s="75">
        <v>57</v>
      </c>
      <c r="H57" s="18" t="s">
        <v>49</v>
      </c>
      <c r="I57" s="6" t="s">
        <v>982</v>
      </c>
      <c r="J57" s="32" t="s">
        <v>860</v>
      </c>
      <c r="K57" s="49" t="s">
        <v>16</v>
      </c>
      <c r="L57" s="48" t="s">
        <v>17</v>
      </c>
      <c r="M57" s="86"/>
      <c r="N57" s="64" t="str">
        <f t="shared" si="0"/>
        <v>524 141-166 : MATHEMATICS FOR SCIENCE TEACHER</v>
      </c>
    </row>
    <row r="58" ht="20.4" spans="1:14">
      <c r="A58" s="71">
        <v>42</v>
      </c>
      <c r="B58" s="71">
        <v>55</v>
      </c>
      <c r="C58" s="74">
        <v>45536</v>
      </c>
      <c r="D58" s="18" t="s">
        <v>87</v>
      </c>
      <c r="E58" s="75">
        <v>3</v>
      </c>
      <c r="F58" s="32" t="s">
        <v>191</v>
      </c>
      <c r="G58" s="75">
        <v>45</v>
      </c>
      <c r="H58" s="18" t="s">
        <v>53</v>
      </c>
      <c r="I58" s="6" t="s">
        <v>983</v>
      </c>
      <c r="J58" s="6" t="s">
        <v>861</v>
      </c>
      <c r="K58" s="49" t="s">
        <v>16</v>
      </c>
      <c r="L58" s="48" t="s">
        <v>17</v>
      </c>
      <c r="M58" s="86"/>
      <c r="N58" s="64" t="str">
        <f t="shared" si="0"/>
        <v>511 202-162 : PRINCIPLES OF MATHEMATICS II</v>
      </c>
    </row>
    <row r="59" ht="20.4" spans="1:14">
      <c r="A59" s="71">
        <v>43</v>
      </c>
      <c r="B59" s="71">
        <v>56</v>
      </c>
      <c r="C59" s="79">
        <v>45536</v>
      </c>
      <c r="D59" s="21" t="s">
        <v>87</v>
      </c>
      <c r="E59" s="80">
        <v>3</v>
      </c>
      <c r="F59" s="39" t="s">
        <v>194</v>
      </c>
      <c r="G59" s="80">
        <v>75</v>
      </c>
      <c r="H59" s="21" t="s">
        <v>27</v>
      </c>
      <c r="I59" s="8" t="s">
        <v>984</v>
      </c>
      <c r="J59" s="8" t="s">
        <v>862</v>
      </c>
      <c r="K59" s="53" t="s">
        <v>16</v>
      </c>
      <c r="L59" s="55" t="s">
        <v>17</v>
      </c>
      <c r="M59" s="86"/>
      <c r="N59" s="64" t="str">
        <f t="shared" si="0"/>
        <v>515 101-165 : STATISTICAL THINKING</v>
      </c>
    </row>
    <row r="60" ht="20.4" spans="1:14">
      <c r="A60" s="71">
        <v>44</v>
      </c>
      <c r="B60" s="71">
        <v>57</v>
      </c>
      <c r="C60" s="74">
        <v>45536</v>
      </c>
      <c r="D60" s="18" t="s">
        <v>87</v>
      </c>
      <c r="E60" s="75">
        <v>3</v>
      </c>
      <c r="F60" s="32" t="s">
        <v>23</v>
      </c>
      <c r="G60" s="75">
        <v>75</v>
      </c>
      <c r="H60" s="18" t="s">
        <v>73</v>
      </c>
      <c r="I60" s="6" t="s">
        <v>985</v>
      </c>
      <c r="J60" s="6" t="s">
        <v>829</v>
      </c>
      <c r="K60" s="49" t="s">
        <v>16</v>
      </c>
      <c r="L60" s="56" t="s">
        <v>36</v>
      </c>
      <c r="M60" s="87"/>
      <c r="N60" s="64" t="str">
        <f t="shared" si="0"/>
        <v>515 104-165 : STATISTICS FOR COMPUTING</v>
      </c>
    </row>
    <row r="61" ht="20.4" spans="1:14">
      <c r="A61" s="71">
        <v>44</v>
      </c>
      <c r="B61" s="71">
        <v>58</v>
      </c>
      <c r="C61" s="74">
        <v>45536</v>
      </c>
      <c r="D61" s="18" t="s">
        <v>87</v>
      </c>
      <c r="E61" s="75">
        <v>3</v>
      </c>
      <c r="F61" s="32" t="s">
        <v>29</v>
      </c>
      <c r="G61" s="75">
        <v>17</v>
      </c>
      <c r="H61" s="18" t="s">
        <v>73</v>
      </c>
      <c r="I61" s="6" t="s">
        <v>985</v>
      </c>
      <c r="J61" s="6" t="s">
        <v>829</v>
      </c>
      <c r="K61" s="49" t="s">
        <v>16</v>
      </c>
      <c r="L61" s="56" t="s">
        <v>36</v>
      </c>
      <c r="M61" s="87"/>
      <c r="N61" s="64" t="str">
        <f t="shared" si="0"/>
        <v>515 201-59 : ELEMENTARY STATISTICS กลุ่ม 3</v>
      </c>
    </row>
    <row r="62" ht="20.4" spans="1:14">
      <c r="A62" s="71">
        <v>44</v>
      </c>
      <c r="B62" s="71">
        <v>59</v>
      </c>
      <c r="C62" s="74">
        <v>45536</v>
      </c>
      <c r="D62" s="18" t="s">
        <v>87</v>
      </c>
      <c r="E62" s="75">
        <v>3</v>
      </c>
      <c r="F62" s="32" t="s">
        <v>30</v>
      </c>
      <c r="G62" s="75">
        <v>42</v>
      </c>
      <c r="H62" s="18" t="s">
        <v>73</v>
      </c>
      <c r="I62" s="6" t="s">
        <v>985</v>
      </c>
      <c r="J62" s="6" t="s">
        <v>829</v>
      </c>
      <c r="K62" s="49" t="s">
        <v>16</v>
      </c>
      <c r="L62" s="56" t="s">
        <v>36</v>
      </c>
      <c r="M62" s="87"/>
      <c r="N62" s="64" t="str">
        <f t="shared" si="0"/>
        <v>515 201-165 : ELEMENTARY STATISTICS</v>
      </c>
    </row>
    <row r="63" ht="40.8" spans="1:14">
      <c r="A63" s="71">
        <v>45</v>
      </c>
      <c r="B63" s="71">
        <v>60</v>
      </c>
      <c r="C63" s="74">
        <v>45536</v>
      </c>
      <c r="D63" s="18" t="s">
        <v>87</v>
      </c>
      <c r="E63" s="75">
        <v>3</v>
      </c>
      <c r="F63" s="32" t="s">
        <v>986</v>
      </c>
      <c r="G63" s="75">
        <v>100</v>
      </c>
      <c r="H63" s="18" t="s">
        <v>39</v>
      </c>
      <c r="I63" s="6" t="s">
        <v>987</v>
      </c>
      <c r="J63" s="6" t="s">
        <v>849</v>
      </c>
      <c r="K63" s="49" t="s">
        <v>16</v>
      </c>
      <c r="L63" s="56" t="s">
        <v>200</v>
      </c>
      <c r="M63" s="87"/>
      <c r="N63" s="64" t="str">
        <f t="shared" si="0"/>
        <v>515 105-165 : STATISTICS FOR INFORMATION TECHNOLOGY (ฟ้า)</v>
      </c>
    </row>
    <row r="64" ht="40.8" spans="1:14">
      <c r="A64" s="71">
        <v>45</v>
      </c>
      <c r="B64" s="71">
        <v>61</v>
      </c>
      <c r="C64" s="74">
        <v>45536</v>
      </c>
      <c r="D64" s="18" t="s">
        <v>87</v>
      </c>
      <c r="E64" s="75">
        <v>3</v>
      </c>
      <c r="F64" s="32" t="s">
        <v>988</v>
      </c>
      <c r="G64" s="75">
        <v>7</v>
      </c>
      <c r="H64" s="18" t="s">
        <v>39</v>
      </c>
      <c r="I64" s="6" t="s">
        <v>987</v>
      </c>
      <c r="J64" s="6" t="s">
        <v>849</v>
      </c>
      <c r="K64" s="49" t="s">
        <v>16</v>
      </c>
      <c r="L64" s="56" t="s">
        <v>200</v>
      </c>
      <c r="M64" s="87"/>
      <c r="N64" s="64" t="str">
        <f t="shared" si="0"/>
        <v>515 201-59 : ELEMENTARY STATISTICS กลุ่ม 2 (ฟ้า)</v>
      </c>
    </row>
    <row r="65" ht="40.8" spans="1:14">
      <c r="A65" s="71">
        <v>46</v>
      </c>
      <c r="B65" s="71">
        <v>62</v>
      </c>
      <c r="C65" s="74">
        <v>45536</v>
      </c>
      <c r="D65" s="18" t="s">
        <v>87</v>
      </c>
      <c r="E65" s="75">
        <v>3</v>
      </c>
      <c r="F65" s="32" t="s">
        <v>202</v>
      </c>
      <c r="G65" s="75">
        <v>81</v>
      </c>
      <c r="H65" s="18" t="s">
        <v>39</v>
      </c>
      <c r="I65" s="6" t="s">
        <v>987</v>
      </c>
      <c r="J65" s="6" t="s">
        <v>863</v>
      </c>
      <c r="K65" s="49" t="s">
        <v>16</v>
      </c>
      <c r="L65" s="56" t="s">
        <v>204</v>
      </c>
      <c r="M65" s="87"/>
      <c r="N65" s="64" t="str">
        <f t="shared" si="0"/>
        <v>520 231-165 : DATA ANALYTICS</v>
      </c>
    </row>
    <row r="66" ht="40.8" spans="1:14">
      <c r="A66" s="71">
        <v>46</v>
      </c>
      <c r="B66" s="71">
        <v>63</v>
      </c>
      <c r="C66" s="88">
        <v>45536</v>
      </c>
      <c r="D66" s="22" t="s">
        <v>87</v>
      </c>
      <c r="E66" s="81">
        <v>3</v>
      </c>
      <c r="F66" s="41" t="s">
        <v>205</v>
      </c>
      <c r="G66" s="81">
        <v>26</v>
      </c>
      <c r="H66" s="22" t="s">
        <v>39</v>
      </c>
      <c r="I66" s="9" t="s">
        <v>987</v>
      </c>
      <c r="J66" s="9" t="s">
        <v>863</v>
      </c>
      <c r="K66" s="54" t="s">
        <v>16</v>
      </c>
      <c r="L66" s="56" t="s">
        <v>204</v>
      </c>
      <c r="M66" s="87"/>
      <c r="N66" s="64" t="str">
        <f t="shared" si="0"/>
        <v>520 215-160 : FUNDAMENTALS OF STATISTICAL MACHINE LEARNING</v>
      </c>
    </row>
    <row r="67" ht="40.8" spans="1:14">
      <c r="A67" s="71">
        <v>47</v>
      </c>
      <c r="B67" s="71">
        <v>64</v>
      </c>
      <c r="C67" s="78">
        <v>45536</v>
      </c>
      <c r="D67" s="20" t="s">
        <v>87</v>
      </c>
      <c r="E67" s="77">
        <v>3</v>
      </c>
      <c r="F67" s="35" t="s">
        <v>989</v>
      </c>
      <c r="G67" s="51">
        <v>4</v>
      </c>
      <c r="H67" s="23" t="s">
        <v>207</v>
      </c>
      <c r="I67" s="7" t="s">
        <v>208</v>
      </c>
      <c r="J67" s="7" t="s">
        <v>865</v>
      </c>
      <c r="K67" s="59" t="s">
        <v>16</v>
      </c>
      <c r="L67" s="58" t="s">
        <v>17</v>
      </c>
      <c r="M67" s="89"/>
      <c r="N67" s="64" t="str">
        <f t="shared" si="0"/>
        <v>515 571-264 : STATISTICAL LEARNING ป.โท</v>
      </c>
    </row>
    <row r="68" ht="20.4" spans="1:14">
      <c r="A68" s="71">
        <v>48</v>
      </c>
      <c r="B68" s="71">
        <v>65</v>
      </c>
      <c r="C68" s="79">
        <v>45537</v>
      </c>
      <c r="D68" s="21" t="s">
        <v>11</v>
      </c>
      <c r="E68" s="80">
        <v>2</v>
      </c>
      <c r="F68" s="39" t="s">
        <v>725</v>
      </c>
      <c r="G68" s="80">
        <v>73</v>
      </c>
      <c r="H68" s="21" t="s">
        <v>27</v>
      </c>
      <c r="I68" s="8" t="s">
        <v>990</v>
      </c>
      <c r="J68" s="8" t="s">
        <v>866</v>
      </c>
      <c r="K68" s="53" t="s">
        <v>115</v>
      </c>
      <c r="L68" s="55" t="s">
        <v>17</v>
      </c>
      <c r="M68" s="86"/>
      <c r="N68" s="64" t="str">
        <f t="shared" si="0"/>
        <v>515 203-165 : STATISTICS FOR BIOLOGICAL SCIENTISTS I (Lab)</v>
      </c>
    </row>
    <row r="69" ht="20.4" spans="1:14">
      <c r="A69" s="71">
        <v>49</v>
      </c>
      <c r="B69" s="71">
        <v>66</v>
      </c>
      <c r="C69" s="74">
        <v>45537</v>
      </c>
      <c r="D69" s="18" t="s">
        <v>11</v>
      </c>
      <c r="E69" s="75">
        <v>2</v>
      </c>
      <c r="F69" s="32" t="s">
        <v>215</v>
      </c>
      <c r="G69" s="75">
        <v>89</v>
      </c>
      <c r="H69" s="18" t="s">
        <v>77</v>
      </c>
      <c r="I69" s="6" t="s">
        <v>991</v>
      </c>
      <c r="J69" s="32" t="s">
        <v>844</v>
      </c>
      <c r="K69" s="49" t="s">
        <v>16</v>
      </c>
      <c r="L69" s="48" t="s">
        <v>17</v>
      </c>
      <c r="M69" s="86"/>
      <c r="N69" s="64" t="str">
        <f t="shared" ref="N69:N132" si="1">TRIM(F69)</f>
        <v>520 214-165 : DIGITAL PLATFORM AND INFRASTRUCTURE</v>
      </c>
    </row>
    <row r="70" ht="40.8" spans="1:14">
      <c r="A70" s="71">
        <v>50</v>
      </c>
      <c r="B70" s="71">
        <v>67</v>
      </c>
      <c r="C70" s="74">
        <v>45537</v>
      </c>
      <c r="D70" s="18" t="s">
        <v>31</v>
      </c>
      <c r="E70" s="75">
        <v>3</v>
      </c>
      <c r="F70" s="32" t="s">
        <v>218</v>
      </c>
      <c r="G70" s="75">
        <v>414</v>
      </c>
      <c r="H70" s="18" t="s">
        <v>44</v>
      </c>
      <c r="I70" s="6" t="s">
        <v>992</v>
      </c>
      <c r="J70" s="32" t="s">
        <v>867</v>
      </c>
      <c r="K70" s="49" t="s">
        <v>16</v>
      </c>
      <c r="L70" s="48" t="s">
        <v>36</v>
      </c>
      <c r="M70" s="86"/>
      <c r="N70" s="64" t="str">
        <f t="shared" si="1"/>
        <v>512 101-165 : GENERAL BIOLOGY</v>
      </c>
    </row>
    <row r="71" ht="40.8" spans="1:14">
      <c r="A71" s="71">
        <v>50</v>
      </c>
      <c r="B71" s="71">
        <v>68</v>
      </c>
      <c r="C71" s="74">
        <v>45537</v>
      </c>
      <c r="D71" s="18" t="s">
        <v>31</v>
      </c>
      <c r="E71" s="75">
        <v>3</v>
      </c>
      <c r="F71" s="32" t="s">
        <v>218</v>
      </c>
      <c r="G71" s="75">
        <v>266</v>
      </c>
      <c r="H71" s="18" t="s">
        <v>58</v>
      </c>
      <c r="I71" s="6" t="s">
        <v>993</v>
      </c>
      <c r="J71" s="32" t="s">
        <v>867</v>
      </c>
      <c r="K71" s="49" t="s">
        <v>16</v>
      </c>
      <c r="L71" s="48" t="s">
        <v>36</v>
      </c>
      <c r="M71" s="86"/>
      <c r="N71" s="64" t="str">
        <f t="shared" si="1"/>
        <v>512 101-165 : GENERAL BIOLOGY</v>
      </c>
    </row>
    <row r="72" ht="40.8" spans="1:14">
      <c r="A72" s="71">
        <v>50</v>
      </c>
      <c r="B72" s="71">
        <v>69</v>
      </c>
      <c r="C72" s="74">
        <v>45537</v>
      </c>
      <c r="D72" s="18" t="s">
        <v>31</v>
      </c>
      <c r="E72" s="75">
        <v>3</v>
      </c>
      <c r="F72" s="32" t="s">
        <v>218</v>
      </c>
      <c r="G72" s="75">
        <v>104</v>
      </c>
      <c r="H72" s="18" t="s">
        <v>33</v>
      </c>
      <c r="I72" s="6" t="s">
        <v>994</v>
      </c>
      <c r="J72" s="32" t="s">
        <v>867</v>
      </c>
      <c r="K72" s="49" t="s">
        <v>16</v>
      </c>
      <c r="L72" s="48" t="s">
        <v>36</v>
      </c>
      <c r="M72" s="86"/>
      <c r="N72" s="64" t="str">
        <f t="shared" si="1"/>
        <v>512 101-165 : GENERAL BIOLOGY</v>
      </c>
    </row>
    <row r="73" ht="40.8" spans="1:14">
      <c r="A73" s="71">
        <v>51</v>
      </c>
      <c r="B73" s="71">
        <v>70</v>
      </c>
      <c r="C73" s="74">
        <v>45537</v>
      </c>
      <c r="D73" s="18" t="s">
        <v>31</v>
      </c>
      <c r="E73" s="75">
        <v>3</v>
      </c>
      <c r="F73" s="32" t="s">
        <v>224</v>
      </c>
      <c r="G73" s="75">
        <v>115</v>
      </c>
      <c r="H73" s="18" t="s">
        <v>73</v>
      </c>
      <c r="I73" s="6" t="s">
        <v>995</v>
      </c>
      <c r="J73" s="32" t="s">
        <v>867</v>
      </c>
      <c r="K73" s="49" t="s">
        <v>16</v>
      </c>
      <c r="L73" s="48" t="s">
        <v>97</v>
      </c>
      <c r="M73" s="86"/>
      <c r="N73" s="64" t="str">
        <f t="shared" si="1"/>
        <v>512 108-165 : BIOLOGY FOR APPLIED SCIENCE</v>
      </c>
    </row>
    <row r="74" ht="40.8" spans="1:14">
      <c r="A74" s="71">
        <v>52</v>
      </c>
      <c r="B74" s="71">
        <v>71</v>
      </c>
      <c r="C74" s="74">
        <v>45537</v>
      </c>
      <c r="D74" s="18" t="s">
        <v>31</v>
      </c>
      <c r="E74" s="75">
        <v>3</v>
      </c>
      <c r="F74" s="32" t="s">
        <v>726</v>
      </c>
      <c r="G74" s="75">
        <v>42</v>
      </c>
      <c r="H74" s="18" t="s">
        <v>73</v>
      </c>
      <c r="I74" s="6" t="s">
        <v>995</v>
      </c>
      <c r="J74" s="32" t="s">
        <v>227</v>
      </c>
      <c r="K74" s="49" t="s">
        <v>16</v>
      </c>
      <c r="L74" s="48" t="s">
        <v>228</v>
      </c>
      <c r="M74" s="86"/>
      <c r="N74" s="64" t="str">
        <f t="shared" si="1"/>
        <v>516 331-165 : AIR QUALITY ANALYSIS (ฟ้า)</v>
      </c>
    </row>
    <row r="75" ht="20.4" spans="1:14">
      <c r="A75" s="71">
        <v>53</v>
      </c>
      <c r="B75" s="71">
        <v>72</v>
      </c>
      <c r="C75" s="74">
        <v>45537</v>
      </c>
      <c r="D75" s="18" t="s">
        <v>31</v>
      </c>
      <c r="E75" s="75">
        <v>3</v>
      </c>
      <c r="F75" s="32" t="s">
        <v>211</v>
      </c>
      <c r="G75" s="75">
        <v>70</v>
      </c>
      <c r="H75" s="18" t="s">
        <v>49</v>
      </c>
      <c r="I75" s="6" t="s">
        <v>996</v>
      </c>
      <c r="J75" s="6" t="s">
        <v>868</v>
      </c>
      <c r="K75" s="49" t="s">
        <v>16</v>
      </c>
      <c r="L75" s="48" t="s">
        <v>17</v>
      </c>
      <c r="M75" s="86"/>
      <c r="N75" s="64" t="str">
        <f t="shared" si="1"/>
        <v>515 203-165 : STATISTICS FOR BIOLOGICAL SCIENTISTS I</v>
      </c>
    </row>
    <row r="76" ht="20.4" spans="1:14">
      <c r="A76" s="71">
        <v>53</v>
      </c>
      <c r="B76" s="71">
        <v>73</v>
      </c>
      <c r="C76" s="74">
        <v>45537</v>
      </c>
      <c r="D76" s="18" t="s">
        <v>31</v>
      </c>
      <c r="E76" s="75">
        <v>3</v>
      </c>
      <c r="F76" s="32" t="s">
        <v>211</v>
      </c>
      <c r="G76" s="75">
        <v>43</v>
      </c>
      <c r="H76" s="18" t="s">
        <v>53</v>
      </c>
      <c r="I76" s="6" t="s">
        <v>997</v>
      </c>
      <c r="J76" s="6" t="s">
        <v>868</v>
      </c>
      <c r="K76" s="49" t="s">
        <v>16</v>
      </c>
      <c r="L76" s="48" t="s">
        <v>17</v>
      </c>
      <c r="M76" s="86"/>
      <c r="N76" s="64" t="str">
        <f t="shared" si="1"/>
        <v>515 203-165 : STATISTICS FOR BIOLOGICAL SCIENTISTS I</v>
      </c>
    </row>
    <row r="77" ht="20.4" spans="1:14">
      <c r="A77" s="71">
        <v>54</v>
      </c>
      <c r="B77" s="71">
        <v>74</v>
      </c>
      <c r="C77" s="74">
        <v>45537</v>
      </c>
      <c r="D77" s="18" t="s">
        <v>31</v>
      </c>
      <c r="E77" s="75">
        <v>3</v>
      </c>
      <c r="F77" s="32" t="s">
        <v>727</v>
      </c>
      <c r="G77" s="75">
        <v>3</v>
      </c>
      <c r="H77" s="18" t="s">
        <v>53</v>
      </c>
      <c r="I77" s="6" t="s">
        <v>997</v>
      </c>
      <c r="J77" s="6" t="s">
        <v>869</v>
      </c>
      <c r="K77" s="49" t="s">
        <v>16</v>
      </c>
      <c r="L77" s="48" t="s">
        <v>17</v>
      </c>
      <c r="M77" s="86"/>
      <c r="N77" s="64" t="str">
        <f t="shared" si="1"/>
        <v>515 211-2560 : STATISTICAL INFERENCE I (ฟ้า)</v>
      </c>
    </row>
    <row r="78" ht="20.4" spans="1:14">
      <c r="A78" s="71">
        <v>55</v>
      </c>
      <c r="B78" s="71">
        <v>75</v>
      </c>
      <c r="C78" s="74">
        <v>45537</v>
      </c>
      <c r="D78" s="18" t="s">
        <v>31</v>
      </c>
      <c r="E78" s="75">
        <v>3</v>
      </c>
      <c r="F78" s="32" t="s">
        <v>235</v>
      </c>
      <c r="G78" s="75">
        <v>37</v>
      </c>
      <c r="H78" s="18" t="s">
        <v>24</v>
      </c>
      <c r="I78" s="6" t="s">
        <v>998</v>
      </c>
      <c r="J78" s="6" t="s">
        <v>870</v>
      </c>
      <c r="K78" s="49" t="s">
        <v>115</v>
      </c>
      <c r="L78" s="48" t="s">
        <v>17</v>
      </c>
      <c r="M78" s="86"/>
      <c r="N78" s="64" t="str">
        <f t="shared" si="1"/>
        <v>515 273-165 : STATISTICS FOR DATA SCIENCE</v>
      </c>
    </row>
    <row r="79" ht="40.8" spans="1:14">
      <c r="A79" s="71">
        <v>56</v>
      </c>
      <c r="B79" s="71">
        <v>76</v>
      </c>
      <c r="C79" s="74">
        <v>45537</v>
      </c>
      <c r="D79" s="18" t="s">
        <v>31</v>
      </c>
      <c r="E79" s="75">
        <v>3</v>
      </c>
      <c r="F79" s="32" t="s">
        <v>238</v>
      </c>
      <c r="G79" s="75">
        <v>66</v>
      </c>
      <c r="H79" s="18" t="s">
        <v>135</v>
      </c>
      <c r="I79" s="6" t="s">
        <v>999</v>
      </c>
      <c r="J79" s="6" t="s">
        <v>871</v>
      </c>
      <c r="K79" s="49" t="s">
        <v>16</v>
      </c>
      <c r="L79" s="48" t="s">
        <v>17</v>
      </c>
      <c r="M79" s="86"/>
      <c r="N79" s="64" t="str">
        <f t="shared" si="1"/>
        <v>517 111-165 : COMPUTER PROGRAMMING FOR DATA SCIENTISTS</v>
      </c>
    </row>
    <row r="80" ht="40.8" spans="1:14">
      <c r="A80" s="71">
        <v>56</v>
      </c>
      <c r="B80" s="71">
        <v>77</v>
      </c>
      <c r="C80" s="74">
        <v>45537</v>
      </c>
      <c r="D80" s="18" t="s">
        <v>31</v>
      </c>
      <c r="E80" s="75">
        <v>3</v>
      </c>
      <c r="F80" s="32" t="s">
        <v>241</v>
      </c>
      <c r="G80" s="75">
        <v>1</v>
      </c>
      <c r="H80" s="18" t="s">
        <v>135</v>
      </c>
      <c r="I80" s="6" t="s">
        <v>999</v>
      </c>
      <c r="J80" s="6" t="s">
        <v>871</v>
      </c>
      <c r="K80" s="49" t="s">
        <v>16</v>
      </c>
      <c r="L80" s="48" t="s">
        <v>17</v>
      </c>
      <c r="M80" s="86"/>
      <c r="N80" s="64" t="str">
        <f t="shared" si="1"/>
        <v>517 123-2561 : COMPUTER PROGRAMMING FOR DATA SCIENTISTS</v>
      </c>
    </row>
    <row r="81" ht="20.4" spans="1:14">
      <c r="A81" s="71">
        <v>57</v>
      </c>
      <c r="B81" s="71">
        <v>78</v>
      </c>
      <c r="C81" s="74">
        <v>45537</v>
      </c>
      <c r="D81" s="18" t="s">
        <v>31</v>
      </c>
      <c r="E81" s="75">
        <v>3</v>
      </c>
      <c r="F81" s="32" t="s">
        <v>242</v>
      </c>
      <c r="G81" s="75">
        <v>50</v>
      </c>
      <c r="H81" s="18" t="s">
        <v>104</v>
      </c>
      <c r="I81" s="6" t="s">
        <v>1000</v>
      </c>
      <c r="J81" s="6" t="s">
        <v>872</v>
      </c>
      <c r="K81" s="49" t="s">
        <v>16</v>
      </c>
      <c r="L81" s="48" t="s">
        <v>17</v>
      </c>
      <c r="M81" s="86"/>
      <c r="N81" s="64" t="str">
        <f t="shared" si="1"/>
        <v>520 331-2560 : ARTFICIAL INTELLIGENCE FOR INFORMATION TECHNOLOGY</v>
      </c>
    </row>
    <row r="82" ht="20.4" spans="1:14">
      <c r="A82" s="71">
        <v>57</v>
      </c>
      <c r="B82" s="71">
        <v>79</v>
      </c>
      <c r="C82" s="74">
        <v>45537</v>
      </c>
      <c r="D82" s="18" t="s">
        <v>31</v>
      </c>
      <c r="E82" s="75">
        <v>3</v>
      </c>
      <c r="F82" s="32" t="s">
        <v>245</v>
      </c>
      <c r="G82" s="75">
        <v>74</v>
      </c>
      <c r="H82" s="18" t="s">
        <v>246</v>
      </c>
      <c r="I82" s="6" t="s">
        <v>1001</v>
      </c>
      <c r="J82" s="6" t="s">
        <v>872</v>
      </c>
      <c r="K82" s="49" t="s">
        <v>16</v>
      </c>
      <c r="L82" s="48" t="s">
        <v>17</v>
      </c>
      <c r="M82" s="86"/>
      <c r="N82" s="64" t="str">
        <f t="shared" si="1"/>
        <v>520 331-2560-165 : ARTFICIAL INTELLIGENCE FOR INFORMATION TECHNOLOGY</v>
      </c>
    </row>
    <row r="83" ht="40.8" spans="1:14">
      <c r="A83" s="71">
        <v>58</v>
      </c>
      <c r="B83" s="71">
        <v>80</v>
      </c>
      <c r="C83" s="74">
        <v>45537</v>
      </c>
      <c r="D83" s="18" t="s">
        <v>31</v>
      </c>
      <c r="E83" s="75">
        <v>3</v>
      </c>
      <c r="F83" s="32" t="s">
        <v>730</v>
      </c>
      <c r="G83" s="75">
        <v>7</v>
      </c>
      <c r="H83" s="18" t="s">
        <v>39</v>
      </c>
      <c r="I83" s="6" t="s">
        <v>1002</v>
      </c>
      <c r="J83" s="32" t="s">
        <v>873</v>
      </c>
      <c r="K83" s="49" t="s">
        <v>16</v>
      </c>
      <c r="L83" s="48" t="s">
        <v>251</v>
      </c>
      <c r="M83" s="86"/>
      <c r="N83" s="64" t="str">
        <f t="shared" si="1"/>
        <v>514 202-165 : ELECTRONICS (ส้ม)</v>
      </c>
    </row>
    <row r="84" ht="40.8" spans="1:14">
      <c r="A84" s="71">
        <v>59</v>
      </c>
      <c r="B84" s="71">
        <v>81</v>
      </c>
      <c r="C84" s="74">
        <v>45537</v>
      </c>
      <c r="D84" s="18" t="s">
        <v>31</v>
      </c>
      <c r="E84" s="75">
        <v>3</v>
      </c>
      <c r="F84" s="32" t="s">
        <v>253</v>
      </c>
      <c r="G84" s="75">
        <v>237</v>
      </c>
      <c r="H84" s="18" t="s">
        <v>39</v>
      </c>
      <c r="I84" s="6" t="s">
        <v>1002</v>
      </c>
      <c r="J84" s="32" t="s">
        <v>874</v>
      </c>
      <c r="K84" s="49" t="s">
        <v>16</v>
      </c>
      <c r="L84" s="48" t="s">
        <v>255</v>
      </c>
      <c r="M84" s="86"/>
      <c r="N84" s="64" t="str">
        <f t="shared" si="1"/>
        <v>517 121-2560-165 : COMPUTER PROGRAMMING SKILL I</v>
      </c>
    </row>
    <row r="85" ht="40.8" spans="1:14">
      <c r="A85" s="71">
        <v>60</v>
      </c>
      <c r="B85" s="71">
        <v>82</v>
      </c>
      <c r="C85" s="74">
        <v>45537</v>
      </c>
      <c r="D85" s="18" t="s">
        <v>31</v>
      </c>
      <c r="E85" s="75">
        <v>3</v>
      </c>
      <c r="F85" s="32" t="s">
        <v>732</v>
      </c>
      <c r="G85" s="75">
        <v>14</v>
      </c>
      <c r="H85" s="18" t="s">
        <v>39</v>
      </c>
      <c r="I85" s="6" t="s">
        <v>1002</v>
      </c>
      <c r="J85" s="32" t="s">
        <v>875</v>
      </c>
      <c r="K85" s="49" t="s">
        <v>16</v>
      </c>
      <c r="L85" s="48" t="s">
        <v>259</v>
      </c>
      <c r="M85" s="86"/>
      <c r="N85" s="64" t="str">
        <f t="shared" si="1"/>
        <v>519 451-2560 : FINITE DIFFERENCE METHODS AND APPLICATIONS (ฟ้า)</v>
      </c>
    </row>
    <row r="86" ht="20.4" spans="1:14">
      <c r="A86" s="71">
        <v>61</v>
      </c>
      <c r="B86" s="71">
        <v>83</v>
      </c>
      <c r="C86" s="74">
        <v>45537</v>
      </c>
      <c r="D86" s="18" t="s">
        <v>31</v>
      </c>
      <c r="E86" s="75">
        <v>3</v>
      </c>
      <c r="F86" s="32" t="s">
        <v>261</v>
      </c>
      <c r="G86" s="75">
        <v>16</v>
      </c>
      <c r="H86" s="18" t="s">
        <v>104</v>
      </c>
      <c r="I86" s="6" t="s">
        <v>1000</v>
      </c>
      <c r="J86" s="6" t="s">
        <v>872</v>
      </c>
      <c r="K86" s="49" t="s">
        <v>16</v>
      </c>
      <c r="L86" s="48" t="s">
        <v>17</v>
      </c>
      <c r="M86" s="86"/>
      <c r="N86" s="64" t="str">
        <f t="shared" si="1"/>
        <v>517 331-160 : ARTIFICIAL INTELLIGENCE</v>
      </c>
    </row>
    <row r="87" ht="20.4" spans="1:14">
      <c r="A87" s="71">
        <v>62</v>
      </c>
      <c r="B87" s="71">
        <v>84</v>
      </c>
      <c r="C87" s="74">
        <v>45537</v>
      </c>
      <c r="D87" s="18" t="s">
        <v>31</v>
      </c>
      <c r="E87" s="75">
        <v>3</v>
      </c>
      <c r="F87" s="32" t="s">
        <v>262</v>
      </c>
      <c r="G87" s="75">
        <v>70</v>
      </c>
      <c r="H87" s="18" t="s">
        <v>63</v>
      </c>
      <c r="I87" s="6" t="s">
        <v>1003</v>
      </c>
      <c r="J87" s="32" t="s">
        <v>876</v>
      </c>
      <c r="K87" s="49" t="s">
        <v>16</v>
      </c>
      <c r="L87" s="48" t="s">
        <v>17</v>
      </c>
      <c r="M87" s="86"/>
      <c r="N87" s="64" t="str">
        <f t="shared" si="1"/>
        <v>518 201-165 : BACTERIOLOGY</v>
      </c>
    </row>
    <row r="88" ht="20.4" spans="1:14">
      <c r="A88" s="71">
        <v>62</v>
      </c>
      <c r="B88" s="71">
        <v>85</v>
      </c>
      <c r="C88" s="74">
        <v>45537</v>
      </c>
      <c r="D88" s="18" t="s">
        <v>31</v>
      </c>
      <c r="E88" s="75">
        <v>3</v>
      </c>
      <c r="F88" s="32" t="s">
        <v>262</v>
      </c>
      <c r="G88" s="75">
        <v>21</v>
      </c>
      <c r="H88" s="18" t="s">
        <v>53</v>
      </c>
      <c r="I88" s="6" t="s">
        <v>997</v>
      </c>
      <c r="J88" s="32" t="s">
        <v>876</v>
      </c>
      <c r="K88" s="49" t="s">
        <v>16</v>
      </c>
      <c r="L88" s="48" t="s">
        <v>17</v>
      </c>
      <c r="M88" s="86"/>
      <c r="N88" s="64" t="str">
        <f t="shared" si="1"/>
        <v>518 201-165 : BACTERIOLOGY</v>
      </c>
    </row>
    <row r="89" ht="40.8" spans="1:14">
      <c r="A89" s="71">
        <v>63</v>
      </c>
      <c r="B89" s="71">
        <v>86</v>
      </c>
      <c r="C89" s="74">
        <v>45537</v>
      </c>
      <c r="D89" s="18" t="s">
        <v>31</v>
      </c>
      <c r="E89" s="75">
        <v>3</v>
      </c>
      <c r="F89" s="32" t="s">
        <v>205</v>
      </c>
      <c r="G89" s="75">
        <v>26</v>
      </c>
      <c r="H89" s="18" t="s">
        <v>266</v>
      </c>
      <c r="I89" s="6" t="s">
        <v>1004</v>
      </c>
      <c r="J89" s="6" t="s">
        <v>863</v>
      </c>
      <c r="K89" s="49" t="s">
        <v>16</v>
      </c>
      <c r="L89" s="48" t="s">
        <v>17</v>
      </c>
      <c r="M89" s="86"/>
      <c r="N89" s="64" t="str">
        <f t="shared" si="1"/>
        <v>520 215-160 : FUNDAMENTALS OF STATISTICAL MACHINE LEARNING</v>
      </c>
    </row>
    <row r="90" ht="40.8" spans="1:14">
      <c r="A90" s="71">
        <v>63</v>
      </c>
      <c r="B90" s="71">
        <v>87</v>
      </c>
      <c r="C90" s="74">
        <v>45537</v>
      </c>
      <c r="D90" s="18" t="s">
        <v>31</v>
      </c>
      <c r="E90" s="75">
        <v>3</v>
      </c>
      <c r="F90" s="32" t="s">
        <v>202</v>
      </c>
      <c r="G90" s="75">
        <v>81</v>
      </c>
      <c r="H90" s="18" t="s">
        <v>68</v>
      </c>
      <c r="I90" s="6" t="s">
        <v>1005</v>
      </c>
      <c r="J90" s="6" t="s">
        <v>863</v>
      </c>
      <c r="K90" s="49" t="s">
        <v>115</v>
      </c>
      <c r="L90" s="48" t="s">
        <v>17</v>
      </c>
      <c r="M90" s="86"/>
      <c r="N90" s="64" t="str">
        <f t="shared" si="1"/>
        <v>520 231-165 : DATA ANALYTICS</v>
      </c>
    </row>
    <row r="91" ht="20.4" spans="1:14">
      <c r="A91" s="71">
        <v>64</v>
      </c>
      <c r="B91" s="71">
        <v>88</v>
      </c>
      <c r="C91" s="74">
        <v>45537</v>
      </c>
      <c r="D91" s="20" t="s">
        <v>31</v>
      </c>
      <c r="E91" s="77">
        <v>3</v>
      </c>
      <c r="F91" s="35" t="s">
        <v>734</v>
      </c>
      <c r="G91" s="77">
        <v>55</v>
      </c>
      <c r="H91" s="20" t="s">
        <v>163</v>
      </c>
      <c r="I91" s="7" t="s">
        <v>1006</v>
      </c>
      <c r="J91" s="35" t="s">
        <v>877</v>
      </c>
      <c r="K91" s="51" t="s">
        <v>115</v>
      </c>
      <c r="L91" s="50" t="s">
        <v>17</v>
      </c>
      <c r="M91" s="86"/>
      <c r="N91" s="64" t="str">
        <f t="shared" si="1"/>
        <v>522 363-2561-165 : UNSUPERVISED MACHINE LEARNING (Lab)</v>
      </c>
    </row>
    <row r="92" ht="40.8" spans="1:14">
      <c r="A92" s="71">
        <v>65</v>
      </c>
      <c r="B92" s="71">
        <v>89</v>
      </c>
      <c r="C92" s="74">
        <v>45537</v>
      </c>
      <c r="D92" s="21" t="s">
        <v>87</v>
      </c>
      <c r="E92" s="80">
        <v>3</v>
      </c>
      <c r="F92" s="39" t="s">
        <v>273</v>
      </c>
      <c r="G92" s="80">
        <v>143</v>
      </c>
      <c r="H92" s="21" t="s">
        <v>44</v>
      </c>
      <c r="I92" s="8" t="s">
        <v>1007</v>
      </c>
      <c r="J92" s="8" t="s">
        <v>878</v>
      </c>
      <c r="K92" s="53" t="s">
        <v>16</v>
      </c>
      <c r="L92" s="55" t="s">
        <v>276</v>
      </c>
      <c r="M92" s="86"/>
      <c r="N92" s="64" t="str">
        <f t="shared" si="1"/>
        <v>511 110-2561-165 : CALCULUS FOR DATA SCIENTISTS I</v>
      </c>
    </row>
    <row r="93" ht="40.8" spans="1:14">
      <c r="A93" s="71">
        <v>66</v>
      </c>
      <c r="B93" s="71">
        <v>90</v>
      </c>
      <c r="C93" s="74">
        <v>45537</v>
      </c>
      <c r="D93" s="18" t="s">
        <v>87</v>
      </c>
      <c r="E93" s="75">
        <v>3</v>
      </c>
      <c r="F93" s="32" t="s">
        <v>735</v>
      </c>
      <c r="G93" s="75">
        <v>138</v>
      </c>
      <c r="H93" s="18" t="s">
        <v>44</v>
      </c>
      <c r="I93" s="6" t="s">
        <v>1007</v>
      </c>
      <c r="J93" s="6" t="s">
        <v>844</v>
      </c>
      <c r="K93" s="49" t="s">
        <v>16</v>
      </c>
      <c r="L93" s="48" t="s">
        <v>278</v>
      </c>
      <c r="M93" s="86"/>
      <c r="N93" s="64" t="str">
        <f t="shared" si="1"/>
        <v>517 311-2560-165 : ALGORITHM ANALYSIS AND DESIGN (ฟ้า)</v>
      </c>
    </row>
    <row r="94" ht="40.8" spans="1:14">
      <c r="A94" s="71">
        <v>67</v>
      </c>
      <c r="B94" s="71">
        <v>91</v>
      </c>
      <c r="C94" s="74">
        <v>45537</v>
      </c>
      <c r="D94" s="18" t="s">
        <v>87</v>
      </c>
      <c r="E94" s="75">
        <v>3</v>
      </c>
      <c r="F94" s="32" t="s">
        <v>736</v>
      </c>
      <c r="G94" s="75">
        <v>109</v>
      </c>
      <c r="H94" s="18" t="s">
        <v>44</v>
      </c>
      <c r="I94" s="6" t="s">
        <v>1007</v>
      </c>
      <c r="J94" s="6" t="s">
        <v>838</v>
      </c>
      <c r="K94" s="49" t="s">
        <v>16</v>
      </c>
      <c r="L94" s="48" t="s">
        <v>280</v>
      </c>
      <c r="M94" s="86"/>
      <c r="N94" s="64" t="str">
        <f t="shared" si="1"/>
        <v>520 321-2560-165 : DATABASE SYSTEM ADMINISTRATION (ส้ม)</v>
      </c>
    </row>
    <row r="95" ht="40.8" spans="1:14">
      <c r="A95" s="71">
        <v>68</v>
      </c>
      <c r="B95" s="71">
        <v>92</v>
      </c>
      <c r="C95" s="74">
        <v>45537</v>
      </c>
      <c r="D95" s="18" t="s">
        <v>87</v>
      </c>
      <c r="E95" s="75">
        <v>3</v>
      </c>
      <c r="F95" s="32" t="s">
        <v>737</v>
      </c>
      <c r="G95" s="75">
        <v>17</v>
      </c>
      <c r="H95" s="18" t="s">
        <v>13</v>
      </c>
      <c r="I95" s="6" t="s">
        <v>1008</v>
      </c>
      <c r="J95" s="6" t="s">
        <v>850</v>
      </c>
      <c r="K95" s="49" t="s">
        <v>16</v>
      </c>
      <c r="L95" s="48" t="s">
        <v>17</v>
      </c>
      <c r="M95" s="86"/>
      <c r="N95" s="64" t="str">
        <f t="shared" si="1"/>
        <v>511 221-2560-165 : DIFFERENTIAL EQUATIONS (ฟ้า)</v>
      </c>
    </row>
    <row r="96" ht="20.4" spans="1:14">
      <c r="A96" s="71">
        <v>69</v>
      </c>
      <c r="B96" s="71">
        <v>93</v>
      </c>
      <c r="C96" s="74">
        <v>45537</v>
      </c>
      <c r="D96" s="18" t="s">
        <v>87</v>
      </c>
      <c r="E96" s="75">
        <v>3</v>
      </c>
      <c r="F96" s="32" t="s">
        <v>283</v>
      </c>
      <c r="G96" s="75">
        <v>44</v>
      </c>
      <c r="H96" s="18" t="s">
        <v>13</v>
      </c>
      <c r="I96" s="6" t="s">
        <v>1008</v>
      </c>
      <c r="J96" s="32" t="s">
        <v>879</v>
      </c>
      <c r="K96" s="49" t="s">
        <v>16</v>
      </c>
      <c r="L96" s="48" t="s">
        <v>17</v>
      </c>
      <c r="M96" s="86"/>
      <c r="N96" s="64" t="str">
        <f t="shared" si="1"/>
        <v>512 235-2560-165 : VERTEBRATE ZOOLOGY</v>
      </c>
    </row>
    <row r="97" ht="40.8" spans="1:14">
      <c r="A97" s="71">
        <v>70</v>
      </c>
      <c r="B97" s="71">
        <v>94</v>
      </c>
      <c r="C97" s="74">
        <v>45537</v>
      </c>
      <c r="D97" s="18" t="s">
        <v>87</v>
      </c>
      <c r="E97" s="75">
        <v>3</v>
      </c>
      <c r="F97" s="32" t="s">
        <v>286</v>
      </c>
      <c r="G97" s="75">
        <v>208</v>
      </c>
      <c r="H97" s="18" t="s">
        <v>39</v>
      </c>
      <c r="I97" s="6" t="s">
        <v>1009</v>
      </c>
      <c r="J97" s="32" t="s">
        <v>833</v>
      </c>
      <c r="K97" s="49" t="s">
        <v>16</v>
      </c>
      <c r="L97" s="48" t="s">
        <v>36</v>
      </c>
      <c r="M97" s="86"/>
      <c r="N97" s="64" t="str">
        <f t="shared" si="1"/>
        <v>512 102-165 : GENERAL BIOLOGY LABORATORY</v>
      </c>
    </row>
    <row r="98" ht="40.8" spans="1:14">
      <c r="A98" s="71">
        <v>70</v>
      </c>
      <c r="B98" s="71">
        <v>95</v>
      </c>
      <c r="C98" s="74">
        <v>45537</v>
      </c>
      <c r="D98" s="18" t="s">
        <v>87</v>
      </c>
      <c r="E98" s="75">
        <v>3</v>
      </c>
      <c r="F98" s="32" t="s">
        <v>286</v>
      </c>
      <c r="G98" s="75">
        <v>207</v>
      </c>
      <c r="H98" s="18" t="s">
        <v>58</v>
      </c>
      <c r="I98" s="6" t="s">
        <v>1010</v>
      </c>
      <c r="J98" s="32" t="s">
        <v>833</v>
      </c>
      <c r="K98" s="49" t="s">
        <v>16</v>
      </c>
      <c r="L98" s="48" t="s">
        <v>36</v>
      </c>
      <c r="M98" s="86"/>
      <c r="N98" s="64" t="str">
        <f t="shared" si="1"/>
        <v>512 102-165 : GENERAL BIOLOGY LABORATORY</v>
      </c>
    </row>
    <row r="99" ht="20.4" spans="1:14">
      <c r="A99" s="71">
        <v>70</v>
      </c>
      <c r="B99" s="71">
        <v>96</v>
      </c>
      <c r="C99" s="74">
        <v>45537</v>
      </c>
      <c r="D99" s="18" t="s">
        <v>87</v>
      </c>
      <c r="E99" s="75">
        <v>3</v>
      </c>
      <c r="F99" s="32" t="s">
        <v>286</v>
      </c>
      <c r="G99" s="75">
        <v>185</v>
      </c>
      <c r="H99" s="18" t="s">
        <v>33</v>
      </c>
      <c r="I99" s="6" t="s">
        <v>1011</v>
      </c>
      <c r="J99" s="32" t="s">
        <v>833</v>
      </c>
      <c r="K99" s="49" t="s">
        <v>16</v>
      </c>
      <c r="L99" s="48" t="s">
        <v>36</v>
      </c>
      <c r="M99" s="86"/>
      <c r="N99" s="64" t="str">
        <f t="shared" si="1"/>
        <v>512 102-165 : GENERAL BIOLOGY LABORATORY</v>
      </c>
    </row>
    <row r="100" ht="20.4" spans="1:14">
      <c r="A100" s="71">
        <v>70</v>
      </c>
      <c r="B100" s="71">
        <v>97</v>
      </c>
      <c r="C100" s="74">
        <v>45537</v>
      </c>
      <c r="D100" s="18" t="s">
        <v>87</v>
      </c>
      <c r="E100" s="75">
        <v>3</v>
      </c>
      <c r="F100" s="32" t="s">
        <v>286</v>
      </c>
      <c r="G100" s="75">
        <v>184</v>
      </c>
      <c r="H100" s="18" t="s">
        <v>73</v>
      </c>
      <c r="I100" s="6" t="s">
        <v>1012</v>
      </c>
      <c r="J100" s="32" t="s">
        <v>833</v>
      </c>
      <c r="K100" s="49" t="s">
        <v>16</v>
      </c>
      <c r="L100" s="48" t="s">
        <v>36</v>
      </c>
      <c r="M100" s="86"/>
      <c r="N100" s="64" t="str">
        <f t="shared" si="1"/>
        <v>512 102-165 : GENERAL BIOLOGY LABORATORY</v>
      </c>
    </row>
    <row r="101" ht="20.4" spans="1:14">
      <c r="A101" s="71">
        <v>71</v>
      </c>
      <c r="B101" s="71">
        <v>98</v>
      </c>
      <c r="C101" s="74">
        <v>45537</v>
      </c>
      <c r="D101" s="18" t="s">
        <v>87</v>
      </c>
      <c r="E101" s="75">
        <v>3</v>
      </c>
      <c r="F101" s="32" t="s">
        <v>292</v>
      </c>
      <c r="G101" s="75">
        <v>16</v>
      </c>
      <c r="H101" s="18" t="s">
        <v>77</v>
      </c>
      <c r="I101" s="6" t="s">
        <v>1013</v>
      </c>
      <c r="J101" s="32" t="s">
        <v>880</v>
      </c>
      <c r="K101" s="49" t="s">
        <v>16</v>
      </c>
      <c r="L101" s="48" t="s">
        <v>17</v>
      </c>
      <c r="M101" s="86"/>
      <c r="N101" s="64" t="str">
        <f t="shared" si="1"/>
        <v>513 331-2560 : ANALYTICAL CHEMISTRY III</v>
      </c>
    </row>
    <row r="102" ht="20.4" spans="1:14">
      <c r="A102" s="71">
        <v>71</v>
      </c>
      <c r="B102" s="71">
        <v>99</v>
      </c>
      <c r="C102" s="74">
        <v>45537</v>
      </c>
      <c r="D102" s="18" t="s">
        <v>87</v>
      </c>
      <c r="E102" s="75">
        <v>3</v>
      </c>
      <c r="F102" s="32" t="s">
        <v>296</v>
      </c>
      <c r="G102" s="75">
        <v>76</v>
      </c>
      <c r="H102" s="18" t="s">
        <v>77</v>
      </c>
      <c r="I102" s="6" t="s">
        <v>1013</v>
      </c>
      <c r="J102" s="32" t="s">
        <v>880</v>
      </c>
      <c r="K102" s="49" t="s">
        <v>16</v>
      </c>
      <c r="L102" s="48" t="s">
        <v>17</v>
      </c>
      <c r="M102" s="86"/>
      <c r="N102" s="64" t="str">
        <f t="shared" si="1"/>
        <v>513 331-165 : ELECTROCHEMISTRY AND SEPARATION TECHNIQUES IN ANALYTICAL CHEMISTRY</v>
      </c>
    </row>
    <row r="103" ht="20.4" spans="1:14">
      <c r="A103" s="71">
        <v>72</v>
      </c>
      <c r="B103" s="71">
        <v>100</v>
      </c>
      <c r="C103" s="74">
        <v>45537</v>
      </c>
      <c r="D103" s="18" t="s">
        <v>87</v>
      </c>
      <c r="E103" s="75">
        <v>3</v>
      </c>
      <c r="F103" s="32" t="s">
        <v>211</v>
      </c>
      <c r="G103" s="75">
        <v>73</v>
      </c>
      <c r="H103" s="18" t="s">
        <v>63</v>
      </c>
      <c r="I103" s="6" t="s">
        <v>1014</v>
      </c>
      <c r="J103" s="6" t="s">
        <v>866</v>
      </c>
      <c r="K103" s="49" t="s">
        <v>16</v>
      </c>
      <c r="L103" s="48" t="s">
        <v>17</v>
      </c>
      <c r="M103" s="86"/>
      <c r="N103" s="64" t="str">
        <f t="shared" si="1"/>
        <v>515 203-165 : STATISTICS FOR BIOLOGICAL SCIENTISTS I</v>
      </c>
    </row>
    <row r="104" ht="20.4" spans="1:14">
      <c r="A104" s="71">
        <v>73</v>
      </c>
      <c r="B104" s="71">
        <v>101</v>
      </c>
      <c r="C104" s="74">
        <v>45537</v>
      </c>
      <c r="D104" s="18" t="s">
        <v>87</v>
      </c>
      <c r="E104" s="75">
        <v>3</v>
      </c>
      <c r="F104" s="32" t="s">
        <v>739</v>
      </c>
      <c r="G104" s="75">
        <v>37</v>
      </c>
      <c r="H104" s="18" t="s">
        <v>104</v>
      </c>
      <c r="I104" s="6" t="s">
        <v>1015</v>
      </c>
      <c r="J104" s="6" t="s">
        <v>870</v>
      </c>
      <c r="K104" s="49" t="s">
        <v>16</v>
      </c>
      <c r="L104" s="48" t="s">
        <v>17</v>
      </c>
      <c r="M104" s="86"/>
      <c r="N104" s="64" t="str">
        <f t="shared" si="1"/>
        <v>515 273-165 : STATISTICS FOR DATA SCIENCE openbook</v>
      </c>
    </row>
    <row r="105" ht="40.8" spans="1:14">
      <c r="A105" s="71">
        <v>74</v>
      </c>
      <c r="B105" s="71">
        <v>102</v>
      </c>
      <c r="C105" s="74">
        <v>45537</v>
      </c>
      <c r="D105" s="18" t="s">
        <v>87</v>
      </c>
      <c r="E105" s="75">
        <v>3</v>
      </c>
      <c r="F105" s="32" t="s">
        <v>740</v>
      </c>
      <c r="G105" s="75">
        <v>24</v>
      </c>
      <c r="H105" s="18" t="s">
        <v>301</v>
      </c>
      <c r="I105" s="6" t="s">
        <v>1016</v>
      </c>
      <c r="J105" s="6" t="s">
        <v>881</v>
      </c>
      <c r="K105" s="49" t="s">
        <v>16</v>
      </c>
      <c r="L105" s="48" t="s">
        <v>17</v>
      </c>
      <c r="M105" s="86"/>
      <c r="N105" s="64" t="str">
        <f t="shared" si="1"/>
        <v>516 420-2560 : ENVIRONMENTAL TOXICOLOGY openbook</v>
      </c>
    </row>
    <row r="106" ht="20.4" spans="1:14">
      <c r="A106" s="71">
        <v>75</v>
      </c>
      <c r="B106" s="71">
        <v>103</v>
      </c>
      <c r="C106" s="74">
        <v>45537</v>
      </c>
      <c r="D106" s="18" t="s">
        <v>87</v>
      </c>
      <c r="E106" s="75">
        <v>3</v>
      </c>
      <c r="F106" s="32" t="s">
        <v>304</v>
      </c>
      <c r="G106" s="75">
        <v>70</v>
      </c>
      <c r="H106" s="18" t="s">
        <v>49</v>
      </c>
      <c r="I106" s="6" t="s">
        <v>1017</v>
      </c>
      <c r="J106" s="32" t="s">
        <v>876</v>
      </c>
      <c r="K106" s="49" t="s">
        <v>16</v>
      </c>
      <c r="L106" s="48" t="s">
        <v>17</v>
      </c>
      <c r="M106" s="86"/>
      <c r="N106" s="64" t="str">
        <f t="shared" si="1"/>
        <v>518 202-165 : BACTERIOLOGY LABORATORY</v>
      </c>
    </row>
    <row r="107" ht="20.4" spans="1:14">
      <c r="A107" s="71">
        <v>75</v>
      </c>
      <c r="B107" s="71">
        <v>104</v>
      </c>
      <c r="C107" s="74">
        <v>45537</v>
      </c>
      <c r="D107" s="18" t="s">
        <v>87</v>
      </c>
      <c r="E107" s="75">
        <v>3</v>
      </c>
      <c r="F107" s="32" t="s">
        <v>304</v>
      </c>
      <c r="G107" s="75">
        <v>21</v>
      </c>
      <c r="H107" s="18" t="s">
        <v>53</v>
      </c>
      <c r="I107" s="6" t="s">
        <v>1018</v>
      </c>
      <c r="J107" s="32" t="s">
        <v>876</v>
      </c>
      <c r="K107" s="49" t="s">
        <v>16</v>
      </c>
      <c r="L107" s="48" t="s">
        <v>17</v>
      </c>
      <c r="M107" s="86"/>
      <c r="N107" s="64" t="str">
        <f t="shared" si="1"/>
        <v>518 202-165 : BACTERIOLOGY LABORATORY</v>
      </c>
    </row>
    <row r="108" ht="20.4" spans="1:14">
      <c r="A108" s="71">
        <v>76</v>
      </c>
      <c r="B108" s="71">
        <v>105</v>
      </c>
      <c r="C108" s="74">
        <v>45537</v>
      </c>
      <c r="D108" s="18" t="s">
        <v>87</v>
      </c>
      <c r="E108" s="75">
        <v>3</v>
      </c>
      <c r="F108" s="32" t="s">
        <v>741</v>
      </c>
      <c r="G108" s="75">
        <v>7</v>
      </c>
      <c r="H108" s="18" t="s">
        <v>53</v>
      </c>
      <c r="I108" s="6" t="s">
        <v>1018</v>
      </c>
      <c r="J108" s="32" t="s">
        <v>882</v>
      </c>
      <c r="K108" s="49" t="s">
        <v>16</v>
      </c>
      <c r="L108" s="48" t="s">
        <v>17</v>
      </c>
      <c r="M108" s="86"/>
      <c r="N108" s="64" t="str">
        <f t="shared" si="1"/>
        <v>514 301-165 : WAVES AND VIBRATIONS (ฟ้า)</v>
      </c>
    </row>
    <row r="109" ht="20.4" spans="1:14">
      <c r="A109" s="71">
        <v>77</v>
      </c>
      <c r="B109" s="71">
        <v>106</v>
      </c>
      <c r="C109" s="74">
        <v>45537</v>
      </c>
      <c r="D109" s="18" t="s">
        <v>87</v>
      </c>
      <c r="E109" s="75">
        <v>3</v>
      </c>
      <c r="F109" s="32" t="s">
        <v>269</v>
      </c>
      <c r="G109" s="75">
        <v>55</v>
      </c>
      <c r="H109" s="18" t="s">
        <v>246</v>
      </c>
      <c r="I109" s="6" t="s">
        <v>1019</v>
      </c>
      <c r="J109" s="32" t="s">
        <v>877</v>
      </c>
      <c r="K109" s="49" t="s">
        <v>16</v>
      </c>
      <c r="L109" s="48" t="s">
        <v>17</v>
      </c>
      <c r="M109" s="86"/>
      <c r="N109" s="64" t="str">
        <f t="shared" si="1"/>
        <v>522 363-2561-165 : UNSUPERVISED MACHINE LEARNING</v>
      </c>
    </row>
    <row r="110" ht="20.4" spans="1:14">
      <c r="A110" s="71">
        <v>78</v>
      </c>
      <c r="B110" s="71">
        <v>107</v>
      </c>
      <c r="C110" s="74">
        <v>45537</v>
      </c>
      <c r="D110" s="18" t="s">
        <v>312</v>
      </c>
      <c r="E110" s="75">
        <v>4</v>
      </c>
      <c r="F110" s="32" t="s">
        <v>253</v>
      </c>
      <c r="G110" s="75">
        <v>40</v>
      </c>
      <c r="H110" s="18" t="s">
        <v>266</v>
      </c>
      <c r="I110" s="6" t="s">
        <v>1020</v>
      </c>
      <c r="J110" s="32" t="s">
        <v>874</v>
      </c>
      <c r="K110" s="49" t="s">
        <v>115</v>
      </c>
      <c r="L110" s="48" t="s">
        <v>17</v>
      </c>
      <c r="M110" s="86"/>
      <c r="N110" s="64" t="str">
        <f t="shared" si="1"/>
        <v>517 121-2560-165 : COMPUTER PROGRAMMING SKILL I</v>
      </c>
    </row>
    <row r="111" ht="20.4" spans="1:14">
      <c r="A111" s="71">
        <v>78</v>
      </c>
      <c r="B111" s="71">
        <v>108</v>
      </c>
      <c r="C111" s="74">
        <v>45537</v>
      </c>
      <c r="D111" s="18" t="s">
        <v>312</v>
      </c>
      <c r="E111" s="75">
        <v>4</v>
      </c>
      <c r="F111" s="32" t="s">
        <v>314</v>
      </c>
      <c r="G111" s="75">
        <v>60</v>
      </c>
      <c r="H111" s="18" t="s">
        <v>315</v>
      </c>
      <c r="I111" s="6" t="s">
        <v>1021</v>
      </c>
      <c r="J111" s="6" t="s">
        <v>890</v>
      </c>
      <c r="K111" s="49" t="s">
        <v>115</v>
      </c>
      <c r="L111" s="48" t="s">
        <v>17</v>
      </c>
      <c r="M111" s="86"/>
      <c r="N111" s="64" t="str">
        <f t="shared" si="1"/>
        <v>517 121-165 : COMPUTER PROGRAMMING SKILL I</v>
      </c>
    </row>
    <row r="112" ht="20.4" spans="1:14">
      <c r="A112" s="71">
        <v>78</v>
      </c>
      <c r="B112" s="71">
        <v>109</v>
      </c>
      <c r="C112" s="74">
        <v>45537</v>
      </c>
      <c r="D112" s="18" t="s">
        <v>312</v>
      </c>
      <c r="E112" s="75">
        <v>4</v>
      </c>
      <c r="F112" s="32" t="s">
        <v>314</v>
      </c>
      <c r="G112" s="75">
        <v>50</v>
      </c>
      <c r="H112" s="18" t="s">
        <v>163</v>
      </c>
      <c r="I112" s="6" t="s">
        <v>1022</v>
      </c>
      <c r="J112" s="6" t="s">
        <v>890</v>
      </c>
      <c r="K112" s="49" t="s">
        <v>115</v>
      </c>
      <c r="L112" s="48" t="s">
        <v>17</v>
      </c>
      <c r="M112" s="86"/>
      <c r="N112" s="64" t="str">
        <f t="shared" si="1"/>
        <v>517 121-165 : COMPUTER PROGRAMMING SKILL I</v>
      </c>
    </row>
    <row r="113" ht="20.4" spans="1:14">
      <c r="A113" s="71">
        <v>78</v>
      </c>
      <c r="B113" s="71">
        <v>110</v>
      </c>
      <c r="C113" s="74">
        <v>45537</v>
      </c>
      <c r="D113" s="18" t="s">
        <v>312</v>
      </c>
      <c r="E113" s="75">
        <v>4</v>
      </c>
      <c r="F113" s="32" t="s">
        <v>314</v>
      </c>
      <c r="G113" s="75">
        <v>30</v>
      </c>
      <c r="H113" s="18" t="s">
        <v>24</v>
      </c>
      <c r="I113" s="6" t="s">
        <v>1023</v>
      </c>
      <c r="J113" s="6" t="s">
        <v>890</v>
      </c>
      <c r="K113" s="49" t="s">
        <v>115</v>
      </c>
      <c r="L113" s="48" t="s">
        <v>17</v>
      </c>
      <c r="M113" s="86"/>
      <c r="N113" s="64" t="str">
        <f t="shared" si="1"/>
        <v>517 121-165 : COMPUTER PROGRAMMING SKILL I</v>
      </c>
    </row>
    <row r="114" ht="20.4" spans="1:14">
      <c r="A114" s="71">
        <v>78</v>
      </c>
      <c r="B114" s="71">
        <v>111</v>
      </c>
      <c r="C114" s="78">
        <v>45537</v>
      </c>
      <c r="D114" s="20" t="s">
        <v>312</v>
      </c>
      <c r="E114" s="77">
        <v>4</v>
      </c>
      <c r="F114" s="35" t="s">
        <v>314</v>
      </c>
      <c r="G114" s="77">
        <v>50</v>
      </c>
      <c r="H114" s="20" t="s">
        <v>27</v>
      </c>
      <c r="I114" s="7" t="s">
        <v>1024</v>
      </c>
      <c r="J114" s="7" t="s">
        <v>890</v>
      </c>
      <c r="K114" s="51" t="s">
        <v>115</v>
      </c>
      <c r="L114" s="50" t="s">
        <v>17</v>
      </c>
      <c r="M114" s="86"/>
      <c r="N114" s="64" t="str">
        <f t="shared" si="1"/>
        <v>517 121-165 : COMPUTER PROGRAMMING SKILL I</v>
      </c>
    </row>
    <row r="115" ht="40.8" spans="1:14">
      <c r="A115" s="71">
        <v>79</v>
      </c>
      <c r="B115" s="71">
        <v>112</v>
      </c>
      <c r="C115" s="79">
        <v>45538</v>
      </c>
      <c r="D115" s="21" t="s">
        <v>11</v>
      </c>
      <c r="E115" s="80">
        <v>2</v>
      </c>
      <c r="F115" s="39" t="s">
        <v>321</v>
      </c>
      <c r="G115" s="80">
        <v>55</v>
      </c>
      <c r="H115" s="21" t="s">
        <v>77</v>
      </c>
      <c r="I115" s="8" t="s">
        <v>1025</v>
      </c>
      <c r="J115" s="8" t="s">
        <v>841</v>
      </c>
      <c r="K115" s="53" t="s">
        <v>16</v>
      </c>
      <c r="L115" s="55" t="s">
        <v>17</v>
      </c>
      <c r="M115" s="86"/>
      <c r="N115" s="64" t="str">
        <f t="shared" si="1"/>
        <v>511 200-165 : ENGLISH FOR MATHEMATICS I</v>
      </c>
    </row>
    <row r="116" ht="20.4" spans="1:14">
      <c r="A116" s="71">
        <v>80</v>
      </c>
      <c r="B116" s="71">
        <v>113</v>
      </c>
      <c r="C116" s="74">
        <v>45538</v>
      </c>
      <c r="D116" s="18" t="s">
        <v>11</v>
      </c>
      <c r="E116" s="75">
        <v>2</v>
      </c>
      <c r="F116" s="32" t="s">
        <v>743</v>
      </c>
      <c r="G116" s="75">
        <v>8</v>
      </c>
      <c r="H116" s="18" t="s">
        <v>77</v>
      </c>
      <c r="I116" s="6" t="s">
        <v>1025</v>
      </c>
      <c r="J116" s="32" t="s">
        <v>883</v>
      </c>
      <c r="K116" s="49" t="s">
        <v>16</v>
      </c>
      <c r="L116" s="48" t="s">
        <v>17</v>
      </c>
      <c r="M116" s="86"/>
      <c r="N116" s="64" t="str">
        <f t="shared" si="1"/>
        <v>512 462-2560 : CYTOGENETICS (ส้ม)</v>
      </c>
    </row>
    <row r="117" ht="20.4" spans="1:14">
      <c r="A117" s="71">
        <v>81</v>
      </c>
      <c r="B117" s="71">
        <v>114</v>
      </c>
      <c r="C117" s="74">
        <v>45538</v>
      </c>
      <c r="D117" s="18" t="s">
        <v>11</v>
      </c>
      <c r="E117" s="75">
        <v>2</v>
      </c>
      <c r="F117" s="32" t="s">
        <v>744</v>
      </c>
      <c r="G117" s="75">
        <v>9</v>
      </c>
      <c r="H117" s="18" t="s">
        <v>77</v>
      </c>
      <c r="I117" s="6" t="s">
        <v>1025</v>
      </c>
      <c r="J117" s="32" t="s">
        <v>839</v>
      </c>
      <c r="K117" s="49" t="s">
        <v>16</v>
      </c>
      <c r="L117" s="48" t="s">
        <v>17</v>
      </c>
      <c r="M117" s="86"/>
      <c r="N117" s="64" t="str">
        <f t="shared" si="1"/>
        <v>513 441-2560 : BIOCHEMISTRY II (ฟ้า)</v>
      </c>
    </row>
    <row r="118" ht="40.8" spans="1:14">
      <c r="A118" s="71">
        <v>82</v>
      </c>
      <c r="B118" s="71">
        <v>115</v>
      </c>
      <c r="C118" s="74">
        <v>45538</v>
      </c>
      <c r="D118" s="18" t="s">
        <v>31</v>
      </c>
      <c r="E118" s="75">
        <v>3</v>
      </c>
      <c r="F118" s="32" t="s">
        <v>745</v>
      </c>
      <c r="G118" s="75">
        <v>19</v>
      </c>
      <c r="H118" s="18" t="s">
        <v>49</v>
      </c>
      <c r="I118" s="6" t="s">
        <v>1026</v>
      </c>
      <c r="J118" s="6" t="s">
        <v>884</v>
      </c>
      <c r="K118" s="49" t="s">
        <v>16</v>
      </c>
      <c r="L118" s="48" t="s">
        <v>17</v>
      </c>
      <c r="M118" s="86"/>
      <c r="N118" s="64" t="str">
        <f t="shared" si="1"/>
        <v>511 151-165 : PROBLEM SOLVING SKILLS DEVELOPMENT THROUGH MATHEMATICAL GAMES (ฟ้า)</v>
      </c>
    </row>
    <row r="119" ht="20.4" spans="1:14">
      <c r="A119" s="71">
        <v>83</v>
      </c>
      <c r="B119" s="71">
        <v>116</v>
      </c>
      <c r="C119" s="74">
        <v>45538</v>
      </c>
      <c r="D119" s="18" t="s">
        <v>31</v>
      </c>
      <c r="E119" s="75">
        <v>3</v>
      </c>
      <c r="F119" s="32" t="s">
        <v>332</v>
      </c>
      <c r="G119" s="75">
        <v>42</v>
      </c>
      <c r="H119" s="18" t="s">
        <v>49</v>
      </c>
      <c r="I119" s="6" t="s">
        <v>1026</v>
      </c>
      <c r="J119" s="32" t="s">
        <v>843</v>
      </c>
      <c r="K119" s="49" t="s">
        <v>16</v>
      </c>
      <c r="L119" s="48" t="s">
        <v>17</v>
      </c>
      <c r="M119" s="86"/>
      <c r="N119" s="64" t="str">
        <f t="shared" si="1"/>
        <v>513 354-2560 : SPECTROSCOPY IN ORGANIC CHEMISTRY</v>
      </c>
    </row>
    <row r="120" ht="20.4" spans="1:14">
      <c r="A120" s="71">
        <v>84</v>
      </c>
      <c r="B120" s="71">
        <v>117</v>
      </c>
      <c r="C120" s="74">
        <v>45538</v>
      </c>
      <c r="D120" s="18" t="s">
        <v>31</v>
      </c>
      <c r="E120" s="75">
        <v>3</v>
      </c>
      <c r="F120" s="32" t="s">
        <v>1027</v>
      </c>
      <c r="G120" s="75">
        <v>17</v>
      </c>
      <c r="H120" s="18" t="s">
        <v>13</v>
      </c>
      <c r="I120" s="6" t="s">
        <v>1028</v>
      </c>
      <c r="J120" s="6" t="s">
        <v>885</v>
      </c>
      <c r="K120" s="49" t="s">
        <v>16</v>
      </c>
      <c r="L120" s="56" t="s">
        <v>17</v>
      </c>
      <c r="M120" s="87"/>
      <c r="N120" s="64" t="str">
        <f t="shared" si="1"/>
        <v>511 206-2560 : ENGINEERING MATHEMATICS (ฟ้า)</v>
      </c>
    </row>
    <row r="121" ht="20.4" spans="1:14">
      <c r="A121" s="71">
        <v>84</v>
      </c>
      <c r="B121" s="71">
        <v>118</v>
      </c>
      <c r="C121" s="74">
        <v>45538</v>
      </c>
      <c r="D121" s="18" t="s">
        <v>31</v>
      </c>
      <c r="E121" s="75">
        <v>3</v>
      </c>
      <c r="F121" s="32" t="s">
        <v>1029</v>
      </c>
      <c r="G121" s="75">
        <v>1</v>
      </c>
      <c r="H121" s="18" t="s">
        <v>13</v>
      </c>
      <c r="I121" s="6" t="s">
        <v>1028</v>
      </c>
      <c r="J121" s="6" t="s">
        <v>885</v>
      </c>
      <c r="K121" s="49" t="s">
        <v>16</v>
      </c>
      <c r="L121" s="60" t="s">
        <v>17</v>
      </c>
      <c r="M121" s="87"/>
      <c r="N121" s="64" t="str">
        <f t="shared" si="1"/>
        <v>511 282-55 : ENGINEERING MATHEMATICS (ฟ้า)</v>
      </c>
    </row>
    <row r="122" ht="40.8" spans="1:14">
      <c r="A122" s="71">
        <v>85</v>
      </c>
      <c r="B122" s="71">
        <v>119</v>
      </c>
      <c r="C122" s="74">
        <v>45538</v>
      </c>
      <c r="D122" s="18" t="s">
        <v>31</v>
      </c>
      <c r="E122" s="75">
        <v>3</v>
      </c>
      <c r="F122" s="32" t="s">
        <v>338</v>
      </c>
      <c r="G122" s="75">
        <v>52</v>
      </c>
      <c r="H122" s="18" t="s">
        <v>13</v>
      </c>
      <c r="I122" s="6" t="s">
        <v>1028</v>
      </c>
      <c r="J122" s="6" t="s">
        <v>886</v>
      </c>
      <c r="K122" s="49" t="s">
        <v>16</v>
      </c>
      <c r="L122" s="48" t="s">
        <v>17</v>
      </c>
      <c r="M122" s="86"/>
      <c r="N122" s="64" t="str">
        <f t="shared" si="1"/>
        <v>511 244-2561-165 : LINEAR ALGEBRA FOR DATA SCIENTISTS</v>
      </c>
    </row>
    <row r="123" ht="20.4" spans="1:14">
      <c r="A123" s="71">
        <v>86</v>
      </c>
      <c r="B123" s="71">
        <v>120</v>
      </c>
      <c r="C123" s="74">
        <v>45538</v>
      </c>
      <c r="D123" s="18" t="s">
        <v>31</v>
      </c>
      <c r="E123" s="75">
        <v>3</v>
      </c>
      <c r="F123" s="32" t="s">
        <v>747</v>
      </c>
      <c r="G123" s="75">
        <v>46</v>
      </c>
      <c r="H123" s="18" t="s">
        <v>53</v>
      </c>
      <c r="I123" s="6" t="s">
        <v>1030</v>
      </c>
      <c r="J123" s="6" t="s">
        <v>870</v>
      </c>
      <c r="K123" s="49" t="s">
        <v>16</v>
      </c>
      <c r="L123" s="48" t="s">
        <v>17</v>
      </c>
      <c r="M123" s="86"/>
      <c r="N123" s="64" t="str">
        <f t="shared" si="1"/>
        <v>515 261-2560-165 : STATISTICAL PROGRAMMING openbook</v>
      </c>
    </row>
    <row r="124" ht="20.4" spans="1:14">
      <c r="A124" s="71">
        <v>87</v>
      </c>
      <c r="B124" s="71">
        <v>121</v>
      </c>
      <c r="C124" s="74">
        <v>45538</v>
      </c>
      <c r="D124" s="18" t="s">
        <v>31</v>
      </c>
      <c r="E124" s="75">
        <v>3</v>
      </c>
      <c r="F124" s="32" t="s">
        <v>342</v>
      </c>
      <c r="G124" s="75">
        <v>21</v>
      </c>
      <c r="H124" s="18" t="s">
        <v>24</v>
      </c>
      <c r="I124" s="6" t="s">
        <v>984</v>
      </c>
      <c r="J124" s="6" t="s">
        <v>862</v>
      </c>
      <c r="K124" s="49" t="s">
        <v>115</v>
      </c>
      <c r="L124" s="48" t="s">
        <v>17</v>
      </c>
      <c r="M124" s="86"/>
      <c r="N124" s="64" t="str">
        <f t="shared" si="1"/>
        <v>515 321-165 : EXPERIMENTAL DESIGN AND ANALYSIS</v>
      </c>
    </row>
    <row r="125" ht="20.4" spans="1:14">
      <c r="A125" s="71">
        <v>88</v>
      </c>
      <c r="B125" s="71">
        <v>122</v>
      </c>
      <c r="C125" s="74">
        <v>45538</v>
      </c>
      <c r="D125" s="18" t="s">
        <v>31</v>
      </c>
      <c r="E125" s="75">
        <v>3</v>
      </c>
      <c r="F125" s="32" t="s">
        <v>343</v>
      </c>
      <c r="G125" s="75">
        <v>44</v>
      </c>
      <c r="H125" s="18" t="s">
        <v>63</v>
      </c>
      <c r="I125" s="6" t="s">
        <v>1031</v>
      </c>
      <c r="J125" s="32" t="s">
        <v>887</v>
      </c>
      <c r="K125" s="49" t="s">
        <v>16</v>
      </c>
      <c r="L125" s="48" t="s">
        <v>17</v>
      </c>
      <c r="M125" s="86"/>
      <c r="N125" s="64" t="str">
        <f t="shared" si="1"/>
        <v>518 210-165 : APPLIED BACTERIOLOGY</v>
      </c>
    </row>
    <row r="126" ht="20.4" spans="1:14">
      <c r="A126" s="71">
        <v>89</v>
      </c>
      <c r="B126" s="71">
        <v>123</v>
      </c>
      <c r="C126" s="74">
        <v>45538</v>
      </c>
      <c r="D126" s="18" t="s">
        <v>31</v>
      </c>
      <c r="E126" s="75">
        <v>3</v>
      </c>
      <c r="F126" s="32" t="s">
        <v>347</v>
      </c>
      <c r="G126" s="75">
        <v>114</v>
      </c>
      <c r="H126" s="18" t="s">
        <v>73</v>
      </c>
      <c r="I126" s="6" t="s">
        <v>1032</v>
      </c>
      <c r="J126" s="6" t="s">
        <v>888</v>
      </c>
      <c r="K126" s="49" t="s">
        <v>16</v>
      </c>
      <c r="L126" s="48" t="s">
        <v>36</v>
      </c>
      <c r="M126" s="86"/>
      <c r="N126" s="64" t="str">
        <f t="shared" si="1"/>
        <v>518 301-165 : IMMUNOLOGY</v>
      </c>
    </row>
    <row r="127" ht="20.4" spans="1:14">
      <c r="A127" s="71">
        <v>89</v>
      </c>
      <c r="B127" s="71">
        <v>124</v>
      </c>
      <c r="C127" s="74">
        <v>45538</v>
      </c>
      <c r="D127" s="18" t="s">
        <v>31</v>
      </c>
      <c r="E127" s="75">
        <v>3</v>
      </c>
      <c r="F127" s="32" t="s">
        <v>350</v>
      </c>
      <c r="G127" s="75">
        <v>37</v>
      </c>
      <c r="H127" s="18" t="s">
        <v>73</v>
      </c>
      <c r="I127" s="6" t="s">
        <v>1032</v>
      </c>
      <c r="J127" s="6" t="s">
        <v>888</v>
      </c>
      <c r="K127" s="49" t="s">
        <v>16</v>
      </c>
      <c r="L127" s="48" t="s">
        <v>36</v>
      </c>
      <c r="M127" s="86"/>
      <c r="N127" s="64" t="str">
        <f t="shared" si="1"/>
        <v>518 305-2560 : IMMUNOLOGY</v>
      </c>
    </row>
    <row r="128" ht="40.8" spans="1:14">
      <c r="A128" s="71">
        <v>90</v>
      </c>
      <c r="B128" s="71">
        <v>125</v>
      </c>
      <c r="C128" s="74">
        <v>45538</v>
      </c>
      <c r="D128" s="18" t="s">
        <v>31</v>
      </c>
      <c r="E128" s="75">
        <v>3</v>
      </c>
      <c r="F128" s="32" t="s">
        <v>351</v>
      </c>
      <c r="G128" s="75">
        <v>49</v>
      </c>
      <c r="H128" s="18" t="s">
        <v>315</v>
      </c>
      <c r="I128" s="6" t="s">
        <v>954</v>
      </c>
      <c r="J128" s="6" t="s">
        <v>889</v>
      </c>
      <c r="K128" s="49" t="s">
        <v>16</v>
      </c>
      <c r="L128" s="48" t="s">
        <v>17</v>
      </c>
      <c r="M128" s="86"/>
      <c r="N128" s="64" t="str">
        <f t="shared" si="1"/>
        <v>520 341-2560 : INTERNET AND WORLD WIDE WEB TECHNOLOGY AND PROGRAMMING</v>
      </c>
    </row>
    <row r="129" ht="40.8" spans="1:14">
      <c r="A129" s="71">
        <v>91</v>
      </c>
      <c r="B129" s="71">
        <v>126</v>
      </c>
      <c r="C129" s="74">
        <v>45538</v>
      </c>
      <c r="D129" s="18" t="s">
        <v>31</v>
      </c>
      <c r="E129" s="75">
        <v>3</v>
      </c>
      <c r="F129" s="32" t="s">
        <v>353</v>
      </c>
      <c r="G129" s="75">
        <v>115</v>
      </c>
      <c r="H129" s="18" t="s">
        <v>33</v>
      </c>
      <c r="I129" s="6" t="s">
        <v>1033</v>
      </c>
      <c r="J129" s="6" t="s">
        <v>890</v>
      </c>
      <c r="K129" s="49" t="s">
        <v>16</v>
      </c>
      <c r="L129" s="48" t="s">
        <v>97</v>
      </c>
      <c r="M129" s="86"/>
      <c r="N129" s="64" t="str">
        <f t="shared" si="1"/>
        <v>517 312-2560-165 : OPERATING SYSTEMS</v>
      </c>
    </row>
    <row r="130" ht="40.8" spans="1:14">
      <c r="A130" s="71">
        <v>92</v>
      </c>
      <c r="B130" s="71">
        <v>127</v>
      </c>
      <c r="C130" s="74">
        <v>45538</v>
      </c>
      <c r="D130" s="20" t="s">
        <v>31</v>
      </c>
      <c r="E130" s="77">
        <v>3</v>
      </c>
      <c r="F130" s="35" t="s">
        <v>751</v>
      </c>
      <c r="G130" s="77">
        <v>49</v>
      </c>
      <c r="H130" s="20" t="s">
        <v>33</v>
      </c>
      <c r="I130" s="7" t="s">
        <v>1033</v>
      </c>
      <c r="J130" s="35" t="s">
        <v>877</v>
      </c>
      <c r="K130" s="51" t="s">
        <v>16</v>
      </c>
      <c r="L130" s="50" t="s">
        <v>356</v>
      </c>
      <c r="M130" s="86"/>
      <c r="N130" s="64" t="str">
        <f t="shared" si="1"/>
        <v>524 271-166 : FOUNDATION OF COMPUTER AND INFORMATICS (ฟ้า)</v>
      </c>
    </row>
    <row r="131" ht="40.8" spans="1:14">
      <c r="A131" s="71">
        <v>93</v>
      </c>
      <c r="B131" s="71">
        <v>128</v>
      </c>
      <c r="C131" s="74">
        <v>45538</v>
      </c>
      <c r="D131" s="21" t="s">
        <v>80</v>
      </c>
      <c r="E131" s="80">
        <v>2</v>
      </c>
      <c r="F131" s="39" t="s">
        <v>338</v>
      </c>
      <c r="G131" s="80">
        <v>52</v>
      </c>
      <c r="H131" s="21" t="s">
        <v>163</v>
      </c>
      <c r="I131" s="8" t="s">
        <v>1028</v>
      </c>
      <c r="J131" s="8" t="s">
        <v>886</v>
      </c>
      <c r="K131" s="53" t="s">
        <v>115</v>
      </c>
      <c r="L131" s="55" t="s">
        <v>17</v>
      </c>
      <c r="M131" s="86"/>
      <c r="N131" s="64" t="str">
        <f t="shared" si="1"/>
        <v>511 244-2561-165 : LINEAR ALGEBRA FOR DATA SCIENTISTS</v>
      </c>
    </row>
    <row r="132" ht="40.8" spans="1:14">
      <c r="A132" s="71">
        <v>94</v>
      </c>
      <c r="B132" s="71">
        <v>129</v>
      </c>
      <c r="C132" s="74">
        <v>45538</v>
      </c>
      <c r="D132" s="18" t="s">
        <v>80</v>
      </c>
      <c r="E132" s="75">
        <v>2</v>
      </c>
      <c r="F132" s="32" t="s">
        <v>358</v>
      </c>
      <c r="G132" s="75">
        <v>173</v>
      </c>
      <c r="H132" s="18" t="s">
        <v>58</v>
      </c>
      <c r="I132" s="6" t="s">
        <v>1034</v>
      </c>
      <c r="J132" s="32" t="s">
        <v>891</v>
      </c>
      <c r="K132" s="49" t="s">
        <v>16</v>
      </c>
      <c r="L132" s="48" t="s">
        <v>173</v>
      </c>
      <c r="M132" s="86"/>
      <c r="N132" s="64" t="str">
        <f t="shared" si="1"/>
        <v>518 102-165 : GENERAL MICROBIOLOGY LABORATORY</v>
      </c>
    </row>
    <row r="133" ht="40.8" spans="1:14">
      <c r="A133" s="71">
        <v>95</v>
      </c>
      <c r="B133" s="71">
        <v>130</v>
      </c>
      <c r="C133" s="74">
        <v>45538</v>
      </c>
      <c r="D133" s="18" t="s">
        <v>80</v>
      </c>
      <c r="E133" s="75">
        <v>2</v>
      </c>
      <c r="F133" s="32" t="s">
        <v>753</v>
      </c>
      <c r="G133" s="75">
        <v>22</v>
      </c>
      <c r="H133" s="18" t="s">
        <v>58</v>
      </c>
      <c r="I133" s="6" t="s">
        <v>1034</v>
      </c>
      <c r="J133" s="32" t="s">
        <v>828</v>
      </c>
      <c r="K133" s="49" t="s">
        <v>16</v>
      </c>
      <c r="L133" s="48" t="s">
        <v>363</v>
      </c>
      <c r="M133" s="86"/>
      <c r="N133" s="64" t="str">
        <f t="shared" ref="N133:N196" si="2">TRIM(F133)</f>
        <v>523 301-165 : QUALITY MANAGEMENT SYSTEM IN INDUSTRY (ฟ้า)</v>
      </c>
    </row>
    <row r="134" ht="20.4" spans="1:14">
      <c r="A134" s="71">
        <v>96</v>
      </c>
      <c r="B134" s="71">
        <v>131</v>
      </c>
      <c r="C134" s="74">
        <v>45538</v>
      </c>
      <c r="D134" s="18" t="s">
        <v>87</v>
      </c>
      <c r="E134" s="75">
        <v>3</v>
      </c>
      <c r="F134" s="32" t="s">
        <v>365</v>
      </c>
      <c r="G134" s="75">
        <v>83</v>
      </c>
      <c r="H134" s="18" t="s">
        <v>77</v>
      </c>
      <c r="I134" s="6" t="s">
        <v>1035</v>
      </c>
      <c r="J134" s="6" t="s">
        <v>885</v>
      </c>
      <c r="K134" s="49" t="s">
        <v>16</v>
      </c>
      <c r="L134" s="48" t="s">
        <v>17</v>
      </c>
      <c r="M134" s="86"/>
      <c r="N134" s="64" t="str">
        <f t="shared" si="2"/>
        <v>511 204-165 : MATHEMATICS FOR CHEMISTS</v>
      </c>
    </row>
    <row r="135" ht="20.4" spans="1:14">
      <c r="A135" s="71">
        <v>97</v>
      </c>
      <c r="B135" s="71">
        <v>132</v>
      </c>
      <c r="C135" s="74">
        <v>45538</v>
      </c>
      <c r="D135" s="18" t="s">
        <v>87</v>
      </c>
      <c r="E135" s="75">
        <v>3</v>
      </c>
      <c r="F135" s="32" t="s">
        <v>892</v>
      </c>
      <c r="G135" s="75">
        <v>2</v>
      </c>
      <c r="H135" s="18" t="s">
        <v>77</v>
      </c>
      <c r="I135" s="6" t="s">
        <v>1035</v>
      </c>
      <c r="J135" s="32" t="s">
        <v>893</v>
      </c>
      <c r="K135" s="49" t="s">
        <v>16</v>
      </c>
      <c r="L135" s="48" t="s">
        <v>17</v>
      </c>
      <c r="M135" s="86"/>
      <c r="N135" s="64" t="str">
        <f t="shared" si="2"/>
        <v>514 441-2560 : RENEWABLE ENERGY (ฟ้า)</v>
      </c>
    </row>
    <row r="136" ht="20.4" spans="1:14">
      <c r="A136" s="71">
        <v>98</v>
      </c>
      <c r="B136" s="71">
        <v>133</v>
      </c>
      <c r="C136" s="74">
        <v>45538</v>
      </c>
      <c r="D136" s="18" t="s">
        <v>87</v>
      </c>
      <c r="E136" s="75">
        <v>3</v>
      </c>
      <c r="F136" s="32" t="s">
        <v>370</v>
      </c>
      <c r="G136" s="75">
        <v>5</v>
      </c>
      <c r="H136" s="18" t="s">
        <v>33</v>
      </c>
      <c r="I136" s="6" t="s">
        <v>1036</v>
      </c>
      <c r="J136" s="6" t="s">
        <v>866</v>
      </c>
      <c r="K136" s="49" t="s">
        <v>16</v>
      </c>
      <c r="L136" s="56" t="s">
        <v>173</v>
      </c>
      <c r="M136" s="87"/>
      <c r="N136" s="64" t="str">
        <f t="shared" si="2"/>
        <v>515 231-2560 : PROBABILITY</v>
      </c>
    </row>
    <row r="137" ht="20.4" spans="1:14">
      <c r="A137" s="71">
        <v>98</v>
      </c>
      <c r="B137" s="71">
        <v>134</v>
      </c>
      <c r="C137" s="74">
        <v>45538</v>
      </c>
      <c r="D137" s="18" t="s">
        <v>87</v>
      </c>
      <c r="E137" s="75">
        <v>3</v>
      </c>
      <c r="F137" s="32" t="s">
        <v>372</v>
      </c>
      <c r="G137" s="75">
        <v>121</v>
      </c>
      <c r="H137" s="18" t="s">
        <v>33</v>
      </c>
      <c r="I137" s="6" t="s">
        <v>1036</v>
      </c>
      <c r="J137" s="6" t="s">
        <v>866</v>
      </c>
      <c r="K137" s="49" t="s">
        <v>16</v>
      </c>
      <c r="L137" s="56" t="s">
        <v>173</v>
      </c>
      <c r="M137" s="87"/>
      <c r="N137" s="64" t="str">
        <f t="shared" si="2"/>
        <v>515 232-2560-165 : PROBABILITY FOR COMPUTER SCIENTIST</v>
      </c>
    </row>
    <row r="138" ht="20.4" spans="1:14">
      <c r="A138" s="71">
        <v>99</v>
      </c>
      <c r="B138" s="71">
        <v>135</v>
      </c>
      <c r="C138" s="74">
        <v>45538</v>
      </c>
      <c r="D138" s="18" t="s">
        <v>87</v>
      </c>
      <c r="E138" s="75">
        <v>3</v>
      </c>
      <c r="F138" s="32" t="s">
        <v>1037</v>
      </c>
      <c r="G138" s="75">
        <v>146</v>
      </c>
      <c r="H138" s="18" t="s">
        <v>27</v>
      </c>
      <c r="I138" s="6" t="s">
        <v>998</v>
      </c>
      <c r="J138" s="6" t="s">
        <v>870</v>
      </c>
      <c r="K138" s="49" t="s">
        <v>16</v>
      </c>
      <c r="L138" s="48" t="s">
        <v>17</v>
      </c>
      <c r="M138" s="86"/>
      <c r="N138" s="64" t="str">
        <f t="shared" si="2"/>
        <v>515 261-2560 : STATISTICAL PROGRAMMING openbook</v>
      </c>
    </row>
    <row r="139" ht="40.8" spans="1:14">
      <c r="A139" s="71">
        <v>100</v>
      </c>
      <c r="B139" s="71">
        <v>136</v>
      </c>
      <c r="C139" s="74">
        <v>45538</v>
      </c>
      <c r="D139" s="18" t="s">
        <v>87</v>
      </c>
      <c r="E139" s="75">
        <v>3</v>
      </c>
      <c r="F139" s="32" t="s">
        <v>757</v>
      </c>
      <c r="G139" s="75">
        <v>12</v>
      </c>
      <c r="H139" s="18" t="s">
        <v>13</v>
      </c>
      <c r="I139" s="6" t="s">
        <v>1038</v>
      </c>
      <c r="J139" s="6" t="s">
        <v>894</v>
      </c>
      <c r="K139" s="49" t="s">
        <v>16</v>
      </c>
      <c r="L139" s="48" t="s">
        <v>17</v>
      </c>
      <c r="M139" s="86"/>
      <c r="N139" s="64" t="str">
        <f t="shared" si="2"/>
        <v>516 311-2560 : HAZARDOUS WASTE MANAGEMENT openbook</v>
      </c>
    </row>
    <row r="140" ht="20.4" spans="1:14">
      <c r="A140" s="71">
        <v>101</v>
      </c>
      <c r="B140" s="71">
        <v>137</v>
      </c>
      <c r="C140" s="74">
        <v>45538</v>
      </c>
      <c r="D140" s="18" t="s">
        <v>87</v>
      </c>
      <c r="E140" s="75">
        <v>3</v>
      </c>
      <c r="F140" s="32" t="s">
        <v>377</v>
      </c>
      <c r="G140" s="75">
        <v>114</v>
      </c>
      <c r="H140" s="18" t="s">
        <v>73</v>
      </c>
      <c r="I140" s="6" t="s">
        <v>1039</v>
      </c>
      <c r="J140" s="6" t="s">
        <v>888</v>
      </c>
      <c r="K140" s="49" t="s">
        <v>16</v>
      </c>
      <c r="L140" s="56" t="s">
        <v>97</v>
      </c>
      <c r="M140" s="87"/>
      <c r="N140" s="64" t="str">
        <f t="shared" si="2"/>
        <v>518 302-165 : IMMUNOLOGY LABORATORY</v>
      </c>
    </row>
    <row r="141" ht="20.4" spans="1:14">
      <c r="A141" s="71">
        <v>101</v>
      </c>
      <c r="B141" s="71">
        <v>138</v>
      </c>
      <c r="C141" s="74">
        <v>45538</v>
      </c>
      <c r="D141" s="18" t="s">
        <v>87</v>
      </c>
      <c r="E141" s="75">
        <v>3</v>
      </c>
      <c r="F141" s="32" t="s">
        <v>379</v>
      </c>
      <c r="G141" s="75">
        <v>3</v>
      </c>
      <c r="H141" s="18" t="s">
        <v>73</v>
      </c>
      <c r="I141" s="6" t="s">
        <v>1039</v>
      </c>
      <c r="J141" s="6" t="s">
        <v>888</v>
      </c>
      <c r="K141" s="49" t="s">
        <v>16</v>
      </c>
      <c r="L141" s="56" t="s">
        <v>97</v>
      </c>
      <c r="M141" s="87"/>
      <c r="N141" s="64" t="str">
        <f t="shared" si="2"/>
        <v>518 306-2560 : IMMUNOLOGY LABORATORY</v>
      </c>
    </row>
    <row r="142" ht="20.4" spans="1:14">
      <c r="A142" s="71">
        <v>102</v>
      </c>
      <c r="B142" s="71">
        <v>139</v>
      </c>
      <c r="C142" s="74">
        <v>45538</v>
      </c>
      <c r="D142" s="18" t="s">
        <v>87</v>
      </c>
      <c r="E142" s="75">
        <v>3</v>
      </c>
      <c r="F142" s="32" t="s">
        <v>1040</v>
      </c>
      <c r="G142" s="75">
        <v>17</v>
      </c>
      <c r="H142" s="18" t="s">
        <v>73</v>
      </c>
      <c r="I142" s="6" t="s">
        <v>1039</v>
      </c>
      <c r="J142" s="6" t="s">
        <v>895</v>
      </c>
      <c r="K142" s="49" t="s">
        <v>16</v>
      </c>
      <c r="L142" s="61" t="s">
        <v>382</v>
      </c>
      <c r="M142" s="87"/>
      <c r="N142" s="64" t="str">
        <f t="shared" si="2"/>
        <v>519 362-2560 : INTRODUCTION TO FINANCIAL MATHEMATICS (ฟ้า)</v>
      </c>
    </row>
    <row r="143" ht="20.4" spans="1:14">
      <c r="A143" s="71">
        <v>102</v>
      </c>
      <c r="B143" s="71">
        <v>140</v>
      </c>
      <c r="C143" s="74">
        <v>45538</v>
      </c>
      <c r="D143" s="18" t="s">
        <v>87</v>
      </c>
      <c r="E143" s="75">
        <v>3</v>
      </c>
      <c r="F143" s="32" t="s">
        <v>1041</v>
      </c>
      <c r="G143" s="75">
        <v>7</v>
      </c>
      <c r="H143" s="18" t="s">
        <v>73</v>
      </c>
      <c r="I143" s="6" t="s">
        <v>1039</v>
      </c>
      <c r="J143" s="6" t="s">
        <v>895</v>
      </c>
      <c r="K143" s="49" t="s">
        <v>16</v>
      </c>
      <c r="L143" s="61" t="s">
        <v>382</v>
      </c>
      <c r="M143" s="87"/>
      <c r="N143" s="64" t="str">
        <f t="shared" si="2"/>
        <v>519 362-165 : MATHEMATICS FOR FINANCE (ฟ้า)</v>
      </c>
    </row>
    <row r="144" ht="40.8" spans="1:14">
      <c r="A144" s="71">
        <v>103</v>
      </c>
      <c r="B144" s="71">
        <v>141</v>
      </c>
      <c r="C144" s="78">
        <v>45538</v>
      </c>
      <c r="D144" s="20" t="s">
        <v>312</v>
      </c>
      <c r="E144" s="77">
        <v>4</v>
      </c>
      <c r="F144" s="35" t="s">
        <v>351</v>
      </c>
      <c r="G144" s="77">
        <v>49</v>
      </c>
      <c r="H144" s="20" t="s">
        <v>315</v>
      </c>
      <c r="I144" s="7" t="s">
        <v>954</v>
      </c>
      <c r="J144" s="7" t="s">
        <v>889</v>
      </c>
      <c r="K144" s="51" t="s">
        <v>115</v>
      </c>
      <c r="L144" s="50" t="s">
        <v>17</v>
      </c>
      <c r="M144" s="86"/>
      <c r="N144" s="64" t="str">
        <f t="shared" si="2"/>
        <v>520 341-2560 : INTERNET AND WORLD WIDE WEB TECHNOLOGY AND PROGRAMMING</v>
      </c>
    </row>
    <row r="145" ht="20.4" spans="1:14">
      <c r="A145" s="71">
        <v>104</v>
      </c>
      <c r="B145" s="71">
        <v>142</v>
      </c>
      <c r="C145" s="79">
        <v>45539</v>
      </c>
      <c r="D145" s="21" t="s">
        <v>11</v>
      </c>
      <c r="E145" s="80">
        <v>2</v>
      </c>
      <c r="F145" s="39" t="s">
        <v>384</v>
      </c>
      <c r="G145" s="80">
        <v>20</v>
      </c>
      <c r="H145" s="21" t="s">
        <v>49</v>
      </c>
      <c r="I145" s="8" t="s">
        <v>1042</v>
      </c>
      <c r="J145" s="8" t="s">
        <v>896</v>
      </c>
      <c r="K145" s="53" t="s">
        <v>16</v>
      </c>
      <c r="L145" s="55" t="s">
        <v>17</v>
      </c>
      <c r="M145" s="86"/>
      <c r="N145" s="64" t="str">
        <f t="shared" si="2"/>
        <v>513 415-2560 : NANOMATERIALS</v>
      </c>
    </row>
    <row r="146" ht="20.4" spans="1:14">
      <c r="A146" s="71">
        <v>105</v>
      </c>
      <c r="B146" s="71">
        <v>143</v>
      </c>
      <c r="C146" s="74">
        <v>45539</v>
      </c>
      <c r="D146" s="18" t="s">
        <v>31</v>
      </c>
      <c r="E146" s="75">
        <v>3</v>
      </c>
      <c r="F146" s="32" t="s">
        <v>388</v>
      </c>
      <c r="G146" s="75">
        <v>36</v>
      </c>
      <c r="H146" s="18" t="s">
        <v>13</v>
      </c>
      <c r="I146" s="6" t="s">
        <v>1043</v>
      </c>
      <c r="J146" s="6" t="s">
        <v>897</v>
      </c>
      <c r="K146" s="49" t="s">
        <v>16</v>
      </c>
      <c r="L146" s="48" t="s">
        <v>17</v>
      </c>
      <c r="M146" s="86"/>
      <c r="N146" s="64" t="str">
        <f t="shared" si="2"/>
        <v>511 241-2560-165 : LINEAR ALGEBRA I</v>
      </c>
    </row>
    <row r="147" ht="20.4" spans="1:14">
      <c r="A147" s="71">
        <v>105</v>
      </c>
      <c r="B147" s="71">
        <v>144</v>
      </c>
      <c r="C147" s="74">
        <v>45539</v>
      </c>
      <c r="D147" s="18" t="s">
        <v>31</v>
      </c>
      <c r="E147" s="75">
        <v>3</v>
      </c>
      <c r="F147" s="32" t="s">
        <v>391</v>
      </c>
      <c r="G147" s="75">
        <v>27</v>
      </c>
      <c r="H147" s="18" t="s">
        <v>13</v>
      </c>
      <c r="I147" s="6" t="s">
        <v>1043</v>
      </c>
      <c r="J147" s="6" t="s">
        <v>897</v>
      </c>
      <c r="K147" s="49" t="s">
        <v>16</v>
      </c>
      <c r="L147" s="48" t="s">
        <v>17</v>
      </c>
      <c r="M147" s="86"/>
      <c r="N147" s="64" t="str">
        <f t="shared" si="2"/>
        <v>511 242-2560 : LINEAR ALGEBRA WITH APPLICATIONS</v>
      </c>
    </row>
    <row r="148" ht="40.8" spans="1:14">
      <c r="A148" s="71">
        <v>106</v>
      </c>
      <c r="B148" s="71">
        <v>145</v>
      </c>
      <c r="C148" s="74">
        <v>45539</v>
      </c>
      <c r="D148" s="18" t="s">
        <v>31</v>
      </c>
      <c r="E148" s="75">
        <v>3</v>
      </c>
      <c r="F148" s="32" t="s">
        <v>392</v>
      </c>
      <c r="G148" s="75">
        <v>414</v>
      </c>
      <c r="H148" s="18" t="s">
        <v>44</v>
      </c>
      <c r="I148" s="6" t="s">
        <v>1044</v>
      </c>
      <c r="J148" s="32" t="s">
        <v>898</v>
      </c>
      <c r="K148" s="49" t="s">
        <v>16</v>
      </c>
      <c r="L148" s="48" t="s">
        <v>17</v>
      </c>
      <c r="M148" s="86"/>
      <c r="N148" s="64" t="str">
        <f t="shared" si="2"/>
        <v>514 101-55-2560-165 : GENERAL PHYSICS I</v>
      </c>
    </row>
    <row r="149" ht="40.8" spans="1:14">
      <c r="A149" s="71">
        <v>106</v>
      </c>
      <c r="B149" s="71">
        <v>146</v>
      </c>
      <c r="C149" s="74">
        <v>45539</v>
      </c>
      <c r="D149" s="18" t="s">
        <v>31</v>
      </c>
      <c r="E149" s="75">
        <v>3</v>
      </c>
      <c r="F149" s="32" t="s">
        <v>396</v>
      </c>
      <c r="G149" s="75">
        <v>217</v>
      </c>
      <c r="H149" s="18" t="s">
        <v>39</v>
      </c>
      <c r="I149" s="6" t="s">
        <v>1045</v>
      </c>
      <c r="J149" s="32" t="s">
        <v>898</v>
      </c>
      <c r="K149" s="49" t="s">
        <v>16</v>
      </c>
      <c r="L149" s="48" t="s">
        <v>17</v>
      </c>
      <c r="M149" s="86"/>
      <c r="N149" s="64" t="str">
        <f t="shared" si="2"/>
        <v>514 101-165 : GENERAL PHYSICS I</v>
      </c>
    </row>
    <row r="150" ht="20.4" spans="1:14">
      <c r="A150" s="71">
        <v>107</v>
      </c>
      <c r="B150" s="71">
        <v>147</v>
      </c>
      <c r="C150" s="74">
        <v>45539</v>
      </c>
      <c r="D150" s="18" t="s">
        <v>31</v>
      </c>
      <c r="E150" s="75">
        <v>3</v>
      </c>
      <c r="F150" s="32" t="s">
        <v>1046</v>
      </c>
      <c r="G150" s="75">
        <v>11</v>
      </c>
      <c r="H150" s="18" t="s">
        <v>24</v>
      </c>
      <c r="I150" s="6" t="s">
        <v>984</v>
      </c>
      <c r="J150" s="6" t="s">
        <v>829</v>
      </c>
      <c r="K150" s="49" t="s">
        <v>16</v>
      </c>
      <c r="L150" s="48" t="s">
        <v>17</v>
      </c>
      <c r="M150" s="86"/>
      <c r="N150" s="64" t="str">
        <f t="shared" si="2"/>
        <v>515 222-2560 : APPLIED NONPARAMETRIC STATISTICS openbook</v>
      </c>
    </row>
    <row r="151" ht="20.4" spans="1:14">
      <c r="A151" s="71">
        <v>108</v>
      </c>
      <c r="B151" s="71">
        <v>148</v>
      </c>
      <c r="C151" s="74">
        <v>45539</v>
      </c>
      <c r="D151" s="18" t="s">
        <v>31</v>
      </c>
      <c r="E151" s="75">
        <v>3</v>
      </c>
      <c r="F151" s="32" t="s">
        <v>763</v>
      </c>
      <c r="G151" s="75">
        <v>7</v>
      </c>
      <c r="H151" s="18" t="s">
        <v>77</v>
      </c>
      <c r="I151" s="6" t="s">
        <v>1047</v>
      </c>
      <c r="J151" s="6" t="s">
        <v>899</v>
      </c>
      <c r="K151" s="49" t="s">
        <v>16</v>
      </c>
      <c r="L151" s="48" t="s">
        <v>17</v>
      </c>
      <c r="M151" s="86"/>
      <c r="N151" s="64" t="str">
        <f t="shared" si="2"/>
        <v>516 336-2560 : NOISE POLLUTION AND VIBRATION (ฟ้า)</v>
      </c>
    </row>
    <row r="152" ht="20.4" spans="1:14">
      <c r="A152" s="71">
        <v>109</v>
      </c>
      <c r="B152" s="71">
        <v>149</v>
      </c>
      <c r="C152" s="74">
        <v>45539</v>
      </c>
      <c r="D152" s="18" t="s">
        <v>31</v>
      </c>
      <c r="E152" s="75">
        <v>3</v>
      </c>
      <c r="F152" s="32" t="s">
        <v>159</v>
      </c>
      <c r="G152" s="75">
        <v>75</v>
      </c>
      <c r="H152" s="18" t="s">
        <v>77</v>
      </c>
      <c r="I152" s="6" t="s">
        <v>1047</v>
      </c>
      <c r="J152" s="6" t="s">
        <v>853</v>
      </c>
      <c r="K152" s="49" t="s">
        <v>16</v>
      </c>
      <c r="L152" s="48" t="s">
        <v>17</v>
      </c>
      <c r="M152" s="86"/>
      <c r="N152" s="64" t="str">
        <f t="shared" si="2"/>
        <v>517 101-165 : DIGITAL LITERACY AND CITIZENSHIP</v>
      </c>
    </row>
    <row r="153" ht="40.8" spans="1:14">
      <c r="A153" s="71">
        <v>110</v>
      </c>
      <c r="B153" s="71">
        <v>150</v>
      </c>
      <c r="C153" s="74">
        <v>45539</v>
      </c>
      <c r="D153" s="18" t="s">
        <v>31</v>
      </c>
      <c r="E153" s="75">
        <v>3</v>
      </c>
      <c r="F153" s="32" t="s">
        <v>402</v>
      </c>
      <c r="G153" s="75">
        <v>83</v>
      </c>
      <c r="H153" s="18" t="s">
        <v>27</v>
      </c>
      <c r="I153" s="6" t="s">
        <v>1048</v>
      </c>
      <c r="J153" s="32" t="s">
        <v>888</v>
      </c>
      <c r="K153" s="49" t="s">
        <v>16</v>
      </c>
      <c r="L153" s="48" t="s">
        <v>17</v>
      </c>
      <c r="M153" s="86"/>
      <c r="N153" s="64" t="str">
        <f t="shared" si="2"/>
        <v>518 401-2560 : INTRODUCTION TO BIOINFORMATICS</v>
      </c>
    </row>
    <row r="154" ht="40.8" spans="1:14">
      <c r="A154" s="71">
        <v>111</v>
      </c>
      <c r="B154" s="71">
        <v>151</v>
      </c>
      <c r="C154" s="74">
        <v>45539</v>
      </c>
      <c r="D154" s="20" t="s">
        <v>31</v>
      </c>
      <c r="E154" s="77">
        <v>3</v>
      </c>
      <c r="F154" s="35" t="s">
        <v>405</v>
      </c>
      <c r="G154" s="77">
        <v>41</v>
      </c>
      <c r="H154" s="20" t="s">
        <v>266</v>
      </c>
      <c r="I154" s="7" t="s">
        <v>1049</v>
      </c>
      <c r="J154" s="7" t="s">
        <v>900</v>
      </c>
      <c r="K154" s="51" t="s">
        <v>16</v>
      </c>
      <c r="L154" s="50" t="s">
        <v>17</v>
      </c>
      <c r="M154" s="86"/>
      <c r="N154" s="64" t="str">
        <f t="shared" si="2"/>
        <v>519 161-165 : BUSINESS MATHEMATICS AND ANALYSIS</v>
      </c>
    </row>
    <row r="155" ht="40.8" spans="1:14">
      <c r="A155" s="71">
        <v>112</v>
      </c>
      <c r="B155" s="71">
        <v>152</v>
      </c>
      <c r="C155" s="74">
        <v>45539</v>
      </c>
      <c r="D155" s="21" t="s">
        <v>87</v>
      </c>
      <c r="E155" s="80">
        <v>3</v>
      </c>
      <c r="F155" s="39" t="s">
        <v>766</v>
      </c>
      <c r="G155" s="80">
        <v>4</v>
      </c>
      <c r="H155" s="21" t="s">
        <v>13</v>
      </c>
      <c r="I155" s="8" t="s">
        <v>1050</v>
      </c>
      <c r="J155" s="8" t="s">
        <v>901</v>
      </c>
      <c r="K155" s="53" t="s">
        <v>16</v>
      </c>
      <c r="L155" s="55" t="s">
        <v>17</v>
      </c>
      <c r="M155" s="86"/>
      <c r="N155" s="64" t="str">
        <f t="shared" si="2"/>
        <v>511 321-2560-165 : PARTIAL DIFFERENTIAL EQUATIONS (ฟ้า)</v>
      </c>
    </row>
    <row r="156" ht="20.4" spans="1:14">
      <c r="A156" s="71">
        <v>113</v>
      </c>
      <c r="B156" s="71">
        <v>153</v>
      </c>
      <c r="C156" s="74">
        <v>45539</v>
      </c>
      <c r="D156" s="18" t="s">
        <v>87</v>
      </c>
      <c r="E156" s="75">
        <v>3</v>
      </c>
      <c r="F156" s="32" t="s">
        <v>411</v>
      </c>
      <c r="G156" s="75">
        <v>19</v>
      </c>
      <c r="H156" s="18" t="s">
        <v>13</v>
      </c>
      <c r="I156" s="6" t="s">
        <v>1050</v>
      </c>
      <c r="J156" s="32" t="s">
        <v>851</v>
      </c>
      <c r="K156" s="49" t="s">
        <v>16</v>
      </c>
      <c r="L156" s="48" t="s">
        <v>17</v>
      </c>
      <c r="M156" s="86"/>
      <c r="N156" s="64" t="str">
        <f t="shared" si="2"/>
        <v>512 316-165 : PLANT TAXONOMY LABORATORY</v>
      </c>
    </row>
    <row r="157" ht="40.8" spans="1:14">
      <c r="A157" s="71">
        <v>114</v>
      </c>
      <c r="B157" s="71">
        <v>154</v>
      </c>
      <c r="C157" s="74">
        <v>45539</v>
      </c>
      <c r="D157" s="18" t="s">
        <v>87</v>
      </c>
      <c r="E157" s="75">
        <v>3</v>
      </c>
      <c r="F157" s="32" t="s">
        <v>767</v>
      </c>
      <c r="G157" s="75">
        <v>7</v>
      </c>
      <c r="H157" s="18" t="s">
        <v>13</v>
      </c>
      <c r="I157" s="6" t="s">
        <v>1050</v>
      </c>
      <c r="J157" s="6" t="s">
        <v>832</v>
      </c>
      <c r="K157" s="49" t="s">
        <v>16</v>
      </c>
      <c r="L157" s="48" t="s">
        <v>17</v>
      </c>
      <c r="M157" s="86"/>
      <c r="N157" s="64" t="str">
        <f t="shared" si="2"/>
        <v>519 361-165 : LINEAR PROGRAMMING (ส้ม)</v>
      </c>
    </row>
    <row r="158" ht="20.4" spans="1:14">
      <c r="A158" s="71">
        <v>115</v>
      </c>
      <c r="B158" s="71">
        <v>155</v>
      </c>
      <c r="C158" s="74">
        <v>45539</v>
      </c>
      <c r="D158" s="18" t="s">
        <v>87</v>
      </c>
      <c r="E158" s="75">
        <v>3</v>
      </c>
      <c r="F158" s="32" t="s">
        <v>413</v>
      </c>
      <c r="G158" s="75">
        <v>22</v>
      </c>
      <c r="H158" s="18" t="s">
        <v>49</v>
      </c>
      <c r="I158" s="6" t="s">
        <v>1051</v>
      </c>
      <c r="J158" s="32" t="s">
        <v>827</v>
      </c>
      <c r="K158" s="49" t="s">
        <v>16</v>
      </c>
      <c r="L158" s="48" t="s">
        <v>17</v>
      </c>
      <c r="M158" s="86"/>
      <c r="N158" s="64" t="str">
        <f t="shared" si="2"/>
        <v>513 321-2560 : PHYSICAL CHEMISTRY III</v>
      </c>
    </row>
    <row r="159" ht="20.4" spans="1:14">
      <c r="A159" s="71">
        <v>116</v>
      </c>
      <c r="B159" s="71">
        <v>156</v>
      </c>
      <c r="C159" s="74">
        <v>45539</v>
      </c>
      <c r="D159" s="18" t="s">
        <v>87</v>
      </c>
      <c r="E159" s="75">
        <v>3</v>
      </c>
      <c r="F159" s="32" t="s">
        <v>768</v>
      </c>
      <c r="G159" s="75">
        <v>7</v>
      </c>
      <c r="H159" s="18" t="s">
        <v>49</v>
      </c>
      <c r="I159" s="6" t="s">
        <v>1051</v>
      </c>
      <c r="J159" s="32" t="s">
        <v>893</v>
      </c>
      <c r="K159" s="49" t="s">
        <v>16</v>
      </c>
      <c r="L159" s="48" t="s">
        <v>17</v>
      </c>
      <c r="M159" s="86"/>
      <c r="N159" s="64" t="str">
        <f t="shared" si="2"/>
        <v>514 201-165 : MECHANICS I (ฟ้า)</v>
      </c>
    </row>
    <row r="160" ht="40.8" spans="1:14">
      <c r="A160" s="71">
        <v>117</v>
      </c>
      <c r="B160" s="71">
        <v>157</v>
      </c>
      <c r="C160" s="74">
        <v>45539</v>
      </c>
      <c r="D160" s="18" t="s">
        <v>87</v>
      </c>
      <c r="E160" s="75">
        <v>3</v>
      </c>
      <c r="F160" s="32" t="s">
        <v>418</v>
      </c>
      <c r="G160" s="75">
        <v>327</v>
      </c>
      <c r="H160" s="18" t="s">
        <v>44</v>
      </c>
      <c r="I160" s="6" t="s">
        <v>1052</v>
      </c>
      <c r="J160" s="32" t="s">
        <v>882</v>
      </c>
      <c r="K160" s="49" t="s">
        <v>16</v>
      </c>
      <c r="L160" s="48" t="s">
        <v>17</v>
      </c>
      <c r="M160" s="86"/>
      <c r="N160" s="64" t="str">
        <f t="shared" si="2"/>
        <v>514 107-2560-2561-165 : FUNDAMENTAL PHYSICS</v>
      </c>
    </row>
    <row r="161" ht="40.8" spans="1:14">
      <c r="A161" s="71">
        <v>118</v>
      </c>
      <c r="B161" s="71">
        <v>158</v>
      </c>
      <c r="C161" s="74">
        <v>45539</v>
      </c>
      <c r="D161" s="18" t="s">
        <v>87</v>
      </c>
      <c r="E161" s="75">
        <v>3</v>
      </c>
      <c r="F161" s="32" t="s">
        <v>1053</v>
      </c>
      <c r="G161" s="75">
        <v>17</v>
      </c>
      <c r="H161" s="18" t="s">
        <v>24</v>
      </c>
      <c r="I161" s="6" t="s">
        <v>144</v>
      </c>
      <c r="J161" s="6" t="s">
        <v>849</v>
      </c>
      <c r="K161" s="49" t="s">
        <v>16</v>
      </c>
      <c r="L161" s="48" t="s">
        <v>17</v>
      </c>
      <c r="M161" s="86"/>
      <c r="N161" s="64" t="str">
        <f t="shared" si="2"/>
        <v>515 323-165 : PREDICTIVE MODELING TECHNIQUES openbook</v>
      </c>
    </row>
    <row r="162" ht="20.4" spans="1:14">
      <c r="A162" s="71">
        <v>119</v>
      </c>
      <c r="B162" s="71">
        <v>159</v>
      </c>
      <c r="C162" s="74">
        <v>45539</v>
      </c>
      <c r="D162" s="18" t="s">
        <v>87</v>
      </c>
      <c r="E162" s="75">
        <v>3</v>
      </c>
      <c r="F162" s="32" t="s">
        <v>422</v>
      </c>
      <c r="G162" s="75">
        <v>46</v>
      </c>
      <c r="H162" s="18" t="s">
        <v>53</v>
      </c>
      <c r="I162" s="6" t="s">
        <v>1054</v>
      </c>
      <c r="J162" s="32" t="s">
        <v>894</v>
      </c>
      <c r="K162" s="49" t="s">
        <v>16</v>
      </c>
      <c r="L162" s="48" t="s">
        <v>17</v>
      </c>
      <c r="M162" s="86"/>
      <c r="N162" s="64" t="str">
        <f t="shared" si="2"/>
        <v>516 350-2560-165 : WATER POLLUTION AND CONTROLS</v>
      </c>
    </row>
    <row r="163" ht="20.4" spans="1:14">
      <c r="A163" s="71">
        <v>120</v>
      </c>
      <c r="B163" s="71">
        <v>160</v>
      </c>
      <c r="C163" s="74">
        <v>45539</v>
      </c>
      <c r="D163" s="18" t="s">
        <v>87</v>
      </c>
      <c r="E163" s="75">
        <v>3</v>
      </c>
      <c r="F163" s="32" t="s">
        <v>770</v>
      </c>
      <c r="G163" s="75">
        <v>13</v>
      </c>
      <c r="H163" s="18" t="s">
        <v>53</v>
      </c>
      <c r="I163" s="6" t="s">
        <v>1054</v>
      </c>
      <c r="J163" s="6" t="s">
        <v>902</v>
      </c>
      <c r="K163" s="49" t="s">
        <v>16</v>
      </c>
      <c r="L163" s="48" t="s">
        <v>17</v>
      </c>
      <c r="M163" s="86"/>
      <c r="N163" s="64" t="str">
        <f t="shared" si="2"/>
        <v>518 311-2560 : MUSHROOM BIOLOGY (ฟ้า)</v>
      </c>
    </row>
    <row r="164" ht="40.8" spans="1:14">
      <c r="A164" s="71">
        <v>121</v>
      </c>
      <c r="B164" s="71">
        <v>161</v>
      </c>
      <c r="C164" s="78">
        <v>45539</v>
      </c>
      <c r="D164" s="20" t="s">
        <v>87</v>
      </c>
      <c r="E164" s="77">
        <v>3</v>
      </c>
      <c r="F164" s="35" t="s">
        <v>427</v>
      </c>
      <c r="G164" s="77">
        <v>211</v>
      </c>
      <c r="H164" s="20" t="s">
        <v>39</v>
      </c>
      <c r="I164" s="7" t="s">
        <v>1055</v>
      </c>
      <c r="J164" s="7" t="s">
        <v>856</v>
      </c>
      <c r="K164" s="51" t="s">
        <v>16</v>
      </c>
      <c r="L164" s="50" t="s">
        <v>36</v>
      </c>
      <c r="M164" s="86"/>
      <c r="N164" s="64" t="str">
        <f t="shared" si="2"/>
        <v>520 251-165 : HUMAN COMPUTER INTERACTION AND USER EXPERIENCE DESIGN</v>
      </c>
    </row>
    <row r="165" ht="40.8" spans="1:14">
      <c r="A165" s="71">
        <v>122</v>
      </c>
      <c r="B165" s="71">
        <v>162</v>
      </c>
      <c r="C165" s="79">
        <v>45540</v>
      </c>
      <c r="D165" s="21" t="s">
        <v>11</v>
      </c>
      <c r="E165" s="80">
        <v>2</v>
      </c>
      <c r="F165" s="39" t="s">
        <v>429</v>
      </c>
      <c r="G165" s="80">
        <v>12</v>
      </c>
      <c r="H165" s="21" t="s">
        <v>301</v>
      </c>
      <c r="I165" s="8" t="s">
        <v>1056</v>
      </c>
      <c r="J165" s="8" t="s">
        <v>859</v>
      </c>
      <c r="K165" s="53" t="s">
        <v>16</v>
      </c>
      <c r="L165" s="55" t="s">
        <v>17</v>
      </c>
      <c r="M165" s="86"/>
      <c r="N165" s="64" t="str">
        <f t="shared" si="2"/>
        <v>513 482-2560 : SELECTED TOPICS IN PHYSICAL CHEMISTRY</v>
      </c>
    </row>
    <row r="166" ht="20.4" spans="1:14">
      <c r="A166" s="71">
        <v>123</v>
      </c>
      <c r="B166" s="71">
        <v>163</v>
      </c>
      <c r="C166" s="74">
        <v>45540</v>
      </c>
      <c r="D166" s="18" t="s">
        <v>31</v>
      </c>
      <c r="E166" s="75">
        <v>3</v>
      </c>
      <c r="F166" s="32" t="s">
        <v>432</v>
      </c>
      <c r="G166" s="75">
        <v>55</v>
      </c>
      <c r="H166" s="18" t="s">
        <v>13</v>
      </c>
      <c r="I166" s="6" t="s">
        <v>1057</v>
      </c>
      <c r="J166" s="32" t="s">
        <v>897</v>
      </c>
      <c r="K166" s="49" t="s">
        <v>16</v>
      </c>
      <c r="L166" s="48" t="s">
        <v>17</v>
      </c>
      <c r="M166" s="86"/>
      <c r="N166" s="64" t="str">
        <f t="shared" si="2"/>
        <v>511 246-165 : LINEAR ALGEBRA WITH APPLICATION</v>
      </c>
    </row>
    <row r="167" ht="40.8" spans="1:14">
      <c r="A167" s="71">
        <v>124</v>
      </c>
      <c r="B167" s="71">
        <v>164</v>
      </c>
      <c r="C167" s="74">
        <v>45540</v>
      </c>
      <c r="D167" s="18" t="s">
        <v>31</v>
      </c>
      <c r="E167" s="75">
        <v>3</v>
      </c>
      <c r="F167" s="32" t="s">
        <v>771</v>
      </c>
      <c r="G167" s="75">
        <v>5</v>
      </c>
      <c r="H167" s="18" t="s">
        <v>13</v>
      </c>
      <c r="I167" s="6" t="s">
        <v>1057</v>
      </c>
      <c r="J167" s="6" t="s">
        <v>865</v>
      </c>
      <c r="K167" s="49" t="s">
        <v>16</v>
      </c>
      <c r="L167" s="48" t="s">
        <v>17</v>
      </c>
      <c r="M167" s="86"/>
      <c r="N167" s="64" t="str">
        <f t="shared" si="2"/>
        <v>515 311-2560 : STATISTICAL INFERENCE II (ฟ้า)</v>
      </c>
    </row>
    <row r="168" ht="20.4" spans="1:14">
      <c r="A168" s="71">
        <v>125</v>
      </c>
      <c r="B168" s="71">
        <v>165</v>
      </c>
      <c r="C168" s="74">
        <v>45540</v>
      </c>
      <c r="D168" s="18" t="s">
        <v>31</v>
      </c>
      <c r="E168" s="75">
        <v>3</v>
      </c>
      <c r="F168" s="32" t="s">
        <v>436</v>
      </c>
      <c r="G168" s="75">
        <v>35</v>
      </c>
      <c r="H168" s="18" t="s">
        <v>104</v>
      </c>
      <c r="I168" s="6" t="s">
        <v>1058</v>
      </c>
      <c r="J168" s="6" t="s">
        <v>885</v>
      </c>
      <c r="K168" s="49" t="s">
        <v>16</v>
      </c>
      <c r="L168" s="48" t="s">
        <v>17</v>
      </c>
      <c r="M168" s="86"/>
      <c r="N168" s="64" t="str">
        <f t="shared" si="2"/>
        <v>511 341-2560-165 : ABSTRACT ALGEBRA I</v>
      </c>
    </row>
    <row r="169" ht="20.4" spans="1:14">
      <c r="A169" s="71">
        <v>126</v>
      </c>
      <c r="B169" s="71">
        <v>166</v>
      </c>
      <c r="C169" s="74">
        <v>45540</v>
      </c>
      <c r="D169" s="18" t="s">
        <v>31</v>
      </c>
      <c r="E169" s="75">
        <v>3</v>
      </c>
      <c r="F169" s="32" t="s">
        <v>438</v>
      </c>
      <c r="G169" s="75">
        <v>25</v>
      </c>
      <c r="H169" s="18" t="s">
        <v>49</v>
      </c>
      <c r="I169" s="6" t="s">
        <v>1059</v>
      </c>
      <c r="J169" s="32" t="s">
        <v>903</v>
      </c>
      <c r="K169" s="49" t="s">
        <v>16</v>
      </c>
      <c r="L169" s="48" t="s">
        <v>17</v>
      </c>
      <c r="M169" s="86"/>
      <c r="N169" s="64" t="str">
        <f t="shared" si="2"/>
        <v>512 233-2560-165 : INVERTEBRATE ZOOLOGY</v>
      </c>
    </row>
    <row r="170" ht="20.4" spans="1:14">
      <c r="A170" s="71">
        <v>127</v>
      </c>
      <c r="B170" s="71">
        <v>167</v>
      </c>
      <c r="C170" s="74">
        <v>45540</v>
      </c>
      <c r="D170" s="18" t="s">
        <v>31</v>
      </c>
      <c r="E170" s="75">
        <v>3</v>
      </c>
      <c r="F170" s="32" t="s">
        <v>772</v>
      </c>
      <c r="G170" s="75">
        <v>18</v>
      </c>
      <c r="H170" s="18" t="s">
        <v>49</v>
      </c>
      <c r="I170" s="6" t="s">
        <v>1059</v>
      </c>
      <c r="J170" s="32" t="s">
        <v>860</v>
      </c>
      <c r="K170" s="49" t="s">
        <v>16</v>
      </c>
      <c r="L170" s="48" t="s">
        <v>17</v>
      </c>
      <c r="M170" s="86"/>
      <c r="N170" s="64" t="str">
        <f t="shared" si="2"/>
        <v>514 102-55-2560-162-165 : GENERAL PHYSICS II (ฟ้า)</v>
      </c>
    </row>
    <row r="171" ht="20.4" spans="1:14">
      <c r="A171" s="71">
        <v>128</v>
      </c>
      <c r="B171" s="71">
        <v>168</v>
      </c>
      <c r="C171" s="74">
        <v>45540</v>
      </c>
      <c r="D171" s="18" t="s">
        <v>31</v>
      </c>
      <c r="E171" s="75">
        <v>3</v>
      </c>
      <c r="F171" s="32" t="s">
        <v>444</v>
      </c>
      <c r="G171" s="75">
        <v>94</v>
      </c>
      <c r="H171" s="18" t="s">
        <v>77</v>
      </c>
      <c r="I171" s="6" t="s">
        <v>1060</v>
      </c>
      <c r="J171" s="32" t="s">
        <v>904</v>
      </c>
      <c r="K171" s="49" t="s">
        <v>16</v>
      </c>
      <c r="L171" s="48" t="s">
        <v>17</v>
      </c>
      <c r="M171" s="86"/>
      <c r="N171" s="64" t="str">
        <f t="shared" si="2"/>
        <v>513 311-2560-165 : INORGANIC CHEMISTRY I</v>
      </c>
    </row>
    <row r="172" ht="20.4" spans="1:14">
      <c r="A172" s="71">
        <v>129</v>
      </c>
      <c r="B172" s="71">
        <v>169</v>
      </c>
      <c r="C172" s="74">
        <v>45540</v>
      </c>
      <c r="D172" s="18" t="s">
        <v>31</v>
      </c>
      <c r="E172" s="75">
        <v>3</v>
      </c>
      <c r="F172" s="32" t="s">
        <v>448</v>
      </c>
      <c r="G172" s="75">
        <v>119</v>
      </c>
      <c r="H172" s="18" t="s">
        <v>33</v>
      </c>
      <c r="I172" s="6" t="s">
        <v>1061</v>
      </c>
      <c r="J172" s="32" t="s">
        <v>905</v>
      </c>
      <c r="K172" s="49" t="s">
        <v>16</v>
      </c>
      <c r="L172" s="48" t="s">
        <v>36</v>
      </c>
      <c r="M172" s="86"/>
      <c r="N172" s="64" t="str">
        <f t="shared" si="2"/>
        <v>514 110-165 : GENERAL PHYSICS FOR MATERIALS ENGINEERS</v>
      </c>
    </row>
    <row r="173" ht="20.4" spans="1:14">
      <c r="A173" s="71">
        <v>130</v>
      </c>
      <c r="B173" s="71">
        <v>170</v>
      </c>
      <c r="C173" s="74">
        <v>45540</v>
      </c>
      <c r="D173" s="18" t="s">
        <v>31</v>
      </c>
      <c r="E173" s="75">
        <v>3</v>
      </c>
      <c r="F173" s="32" t="s">
        <v>451</v>
      </c>
      <c r="G173" s="75">
        <v>91</v>
      </c>
      <c r="H173" s="18" t="s">
        <v>73</v>
      </c>
      <c r="I173" s="6" t="s">
        <v>1062</v>
      </c>
      <c r="J173" s="32" t="s">
        <v>906</v>
      </c>
      <c r="K173" s="49" t="s">
        <v>16</v>
      </c>
      <c r="L173" s="48" t="s">
        <v>36</v>
      </c>
      <c r="M173" s="86"/>
      <c r="N173" s="64" t="str">
        <f t="shared" si="2"/>
        <v>518 207-165 : BIOSAFETY IN MICROBIOLOGICAL LABORATORY</v>
      </c>
    </row>
    <row r="174" ht="40.8" spans="1:14">
      <c r="A174" s="71">
        <v>131</v>
      </c>
      <c r="B174" s="71">
        <v>171</v>
      </c>
      <c r="C174" s="74">
        <v>45540</v>
      </c>
      <c r="D174" s="18" t="s">
        <v>31</v>
      </c>
      <c r="E174" s="75">
        <v>3</v>
      </c>
      <c r="F174" s="32" t="s">
        <v>455</v>
      </c>
      <c r="G174" s="75">
        <v>280</v>
      </c>
      <c r="H174" s="18" t="s">
        <v>39</v>
      </c>
      <c r="I174" s="6" t="s">
        <v>1063</v>
      </c>
      <c r="J174" s="32" t="s">
        <v>907</v>
      </c>
      <c r="K174" s="49" t="s">
        <v>16</v>
      </c>
      <c r="L174" s="48" t="s">
        <v>36</v>
      </c>
      <c r="M174" s="86"/>
      <c r="N174" s="64" t="str">
        <f t="shared" si="2"/>
        <v>514 112-165 : FUNDAMENTAL PHYSICS FOR INDUSTRIAL ENGINEERING</v>
      </c>
    </row>
    <row r="175" ht="20.4" spans="1:14">
      <c r="A175" s="71">
        <v>132</v>
      </c>
      <c r="B175" s="71">
        <v>172</v>
      </c>
      <c r="C175" s="74">
        <v>45540</v>
      </c>
      <c r="D175" s="18" t="s">
        <v>31</v>
      </c>
      <c r="E175" s="75">
        <v>3</v>
      </c>
      <c r="F175" s="32" t="s">
        <v>773</v>
      </c>
      <c r="G175" s="75">
        <v>51</v>
      </c>
      <c r="H175" s="18" t="s">
        <v>53</v>
      </c>
      <c r="I175" s="6" t="s">
        <v>1064</v>
      </c>
      <c r="J175" s="6" t="s">
        <v>908</v>
      </c>
      <c r="K175" s="49" t="s">
        <v>16</v>
      </c>
      <c r="L175" s="48" t="s">
        <v>17</v>
      </c>
      <c r="M175" s="86"/>
      <c r="N175" s="64" t="str">
        <f t="shared" si="2"/>
        <v>516 270-2560-165 : ENVIRONMENTAL ECOLOGY openbook</v>
      </c>
    </row>
    <row r="176" ht="40.8" spans="1:14">
      <c r="A176" s="71">
        <v>133</v>
      </c>
      <c r="B176" s="71">
        <v>173</v>
      </c>
      <c r="C176" s="74">
        <v>45540</v>
      </c>
      <c r="D176" s="18" t="s">
        <v>31</v>
      </c>
      <c r="E176" s="75">
        <v>3</v>
      </c>
      <c r="F176" s="32" t="s">
        <v>462</v>
      </c>
      <c r="G176" s="75">
        <v>1</v>
      </c>
      <c r="H176" s="18" t="s">
        <v>68</v>
      </c>
      <c r="I176" s="6" t="s">
        <v>1065</v>
      </c>
      <c r="J176" s="6" t="s">
        <v>889</v>
      </c>
      <c r="K176" s="49" t="s">
        <v>16</v>
      </c>
      <c r="L176" s="48" t="s">
        <v>17</v>
      </c>
      <c r="M176" s="86"/>
      <c r="N176" s="64" t="str">
        <f t="shared" si="2"/>
        <v>517 341-160 : COMPUTER NETWORK ARCHITECTURE AND TECHNOLOGY</v>
      </c>
    </row>
    <row r="177" ht="40.8" spans="1:14">
      <c r="A177" s="71">
        <v>133</v>
      </c>
      <c r="B177" s="71">
        <v>174</v>
      </c>
      <c r="C177" s="74">
        <v>45540</v>
      </c>
      <c r="D177" s="18" t="s">
        <v>31</v>
      </c>
      <c r="E177" s="75">
        <v>3</v>
      </c>
      <c r="F177" s="32" t="s">
        <v>464</v>
      </c>
      <c r="G177" s="75">
        <v>54</v>
      </c>
      <c r="H177" s="18" t="s">
        <v>68</v>
      </c>
      <c r="I177" s="6" t="s">
        <v>1065</v>
      </c>
      <c r="J177" s="6" t="s">
        <v>889</v>
      </c>
      <c r="K177" s="49" t="s">
        <v>16</v>
      </c>
      <c r="L177" s="48" t="s">
        <v>17</v>
      </c>
      <c r="M177" s="86"/>
      <c r="N177" s="64" t="str">
        <f t="shared" si="2"/>
        <v>520 342-2560 : COMPUTER NETWORK ARCHITECTURE AND TECHNOLOGY</v>
      </c>
    </row>
    <row r="178" ht="20.4" spans="1:14">
      <c r="A178" s="71">
        <v>134</v>
      </c>
      <c r="B178" s="71">
        <v>175</v>
      </c>
      <c r="C178" s="74">
        <v>45540</v>
      </c>
      <c r="D178" s="18" t="s">
        <v>31</v>
      </c>
      <c r="E178" s="75">
        <v>3</v>
      </c>
      <c r="F178" s="32" t="s">
        <v>465</v>
      </c>
      <c r="G178" s="75">
        <v>30</v>
      </c>
      <c r="H178" s="18" t="s">
        <v>63</v>
      </c>
      <c r="I178" s="6" t="s">
        <v>1066</v>
      </c>
      <c r="J178" s="6" t="s">
        <v>874</v>
      </c>
      <c r="K178" s="49" t="s">
        <v>16</v>
      </c>
      <c r="L178" s="48" t="s">
        <v>17</v>
      </c>
      <c r="M178" s="86"/>
      <c r="N178" s="64" t="str">
        <f t="shared" si="2"/>
        <v>517 431-165 : MACHINE LEARNING</v>
      </c>
    </row>
    <row r="179" ht="20.4" spans="1:14">
      <c r="A179" s="71">
        <v>134</v>
      </c>
      <c r="B179" s="71">
        <v>176</v>
      </c>
      <c r="C179" s="74">
        <v>45540</v>
      </c>
      <c r="D179" s="18" t="s">
        <v>31</v>
      </c>
      <c r="E179" s="75">
        <v>3</v>
      </c>
      <c r="F179" s="32" t="s">
        <v>467</v>
      </c>
      <c r="G179" s="75">
        <v>18</v>
      </c>
      <c r="H179" s="18" t="s">
        <v>63</v>
      </c>
      <c r="I179" s="6" t="s">
        <v>1066</v>
      </c>
      <c r="J179" s="6" t="s">
        <v>874</v>
      </c>
      <c r="K179" s="49" t="s">
        <v>16</v>
      </c>
      <c r="L179" s="48" t="s">
        <v>17</v>
      </c>
      <c r="M179" s="86"/>
      <c r="N179" s="64" t="str">
        <f t="shared" si="2"/>
        <v>517 482-2560 : SELECTED TOPICS IN COMPUTER SCIENCE II</v>
      </c>
    </row>
    <row r="180" ht="20.4" spans="1:14">
      <c r="A180" s="71">
        <v>134</v>
      </c>
      <c r="B180" s="71">
        <v>177</v>
      </c>
      <c r="C180" s="74">
        <v>45540</v>
      </c>
      <c r="D180" s="20" t="s">
        <v>31</v>
      </c>
      <c r="E180" s="77">
        <v>3</v>
      </c>
      <c r="F180" s="35" t="s">
        <v>468</v>
      </c>
      <c r="G180" s="77">
        <v>5</v>
      </c>
      <c r="H180" s="20" t="s">
        <v>63</v>
      </c>
      <c r="I180" s="7" t="s">
        <v>1066</v>
      </c>
      <c r="J180" s="7" t="s">
        <v>874</v>
      </c>
      <c r="K180" s="51" t="s">
        <v>16</v>
      </c>
      <c r="L180" s="50" t="s">
        <v>17</v>
      </c>
      <c r="M180" s="86"/>
      <c r="N180" s="64" t="str">
        <f t="shared" si="2"/>
        <v>520 482-160 : SELECTED TOPICS IN INFORMATION TECHNOLOGY II</v>
      </c>
    </row>
    <row r="181" ht="20.4" spans="1:14">
      <c r="A181" s="71">
        <v>135</v>
      </c>
      <c r="B181" s="71">
        <v>178</v>
      </c>
      <c r="C181" s="74">
        <v>45540</v>
      </c>
      <c r="D181" s="21" t="s">
        <v>80</v>
      </c>
      <c r="E181" s="80">
        <v>2</v>
      </c>
      <c r="F181" s="39" t="s">
        <v>432</v>
      </c>
      <c r="G181" s="80">
        <v>55</v>
      </c>
      <c r="H181" s="21" t="s">
        <v>163</v>
      </c>
      <c r="I181" s="8" t="s">
        <v>1067</v>
      </c>
      <c r="J181" s="39" t="s">
        <v>897</v>
      </c>
      <c r="K181" s="53" t="s">
        <v>115</v>
      </c>
      <c r="L181" s="55" t="s">
        <v>17</v>
      </c>
      <c r="M181" s="86"/>
      <c r="N181" s="64" t="str">
        <f t="shared" si="2"/>
        <v>511 246-165 : LINEAR ALGEBRA WITH APPLICATION</v>
      </c>
    </row>
    <row r="182" ht="20.4" spans="1:14">
      <c r="A182" s="71">
        <v>136</v>
      </c>
      <c r="B182" s="71">
        <v>179</v>
      </c>
      <c r="C182" s="74">
        <v>45540</v>
      </c>
      <c r="D182" s="18" t="s">
        <v>80</v>
      </c>
      <c r="E182" s="75">
        <v>2</v>
      </c>
      <c r="F182" s="32" t="s">
        <v>470</v>
      </c>
      <c r="G182" s="75">
        <v>5</v>
      </c>
      <c r="H182" s="18" t="s">
        <v>49</v>
      </c>
      <c r="I182" s="6" t="s">
        <v>1068</v>
      </c>
      <c r="J182" s="32" t="s">
        <v>904</v>
      </c>
      <c r="K182" s="49" t="s">
        <v>16</v>
      </c>
      <c r="L182" s="48" t="s">
        <v>17</v>
      </c>
      <c r="M182" s="86"/>
      <c r="N182" s="64" t="str">
        <f t="shared" si="2"/>
        <v>513 411-2560 : ADVANCED INORGANIC CHEMISTRY I</v>
      </c>
    </row>
    <row r="183" ht="20.4" spans="1:14">
      <c r="A183" s="71">
        <v>137</v>
      </c>
      <c r="B183" s="71">
        <v>180</v>
      </c>
      <c r="C183" s="74">
        <v>45540</v>
      </c>
      <c r="D183" s="18" t="s">
        <v>80</v>
      </c>
      <c r="E183" s="75">
        <v>2</v>
      </c>
      <c r="F183" s="32" t="s">
        <v>473</v>
      </c>
      <c r="G183" s="75">
        <v>35</v>
      </c>
      <c r="H183" s="18" t="s">
        <v>27</v>
      </c>
      <c r="I183" s="6" t="s">
        <v>1069</v>
      </c>
      <c r="J183" s="6" t="s">
        <v>858</v>
      </c>
      <c r="K183" s="49" t="s">
        <v>16</v>
      </c>
      <c r="L183" s="48" t="s">
        <v>17</v>
      </c>
      <c r="M183" s="86"/>
      <c r="N183" s="64" t="str">
        <f t="shared" si="2"/>
        <v>SU 131-162 : INTRODUCTION TO INFORMATION MANAGEMENT</v>
      </c>
    </row>
    <row r="184" ht="20.4" spans="1:14">
      <c r="A184" s="71">
        <v>137</v>
      </c>
      <c r="B184" s="71">
        <v>181</v>
      </c>
      <c r="C184" s="74">
        <v>45540</v>
      </c>
      <c r="D184" s="18" t="s">
        <v>80</v>
      </c>
      <c r="E184" s="75">
        <v>2</v>
      </c>
      <c r="F184" s="32" t="s">
        <v>475</v>
      </c>
      <c r="G184" s="75">
        <v>32</v>
      </c>
      <c r="H184" s="18" t="s">
        <v>27</v>
      </c>
      <c r="I184" s="6" t="s">
        <v>1069</v>
      </c>
      <c r="J184" s="6" t="s">
        <v>858</v>
      </c>
      <c r="K184" s="49" t="s">
        <v>16</v>
      </c>
      <c r="L184" s="48" t="s">
        <v>17</v>
      </c>
      <c r="M184" s="86"/>
      <c r="N184" s="64" t="str">
        <f t="shared" si="2"/>
        <v>SU 147-166 : DATA ANALYTICS WITH EXCEL</v>
      </c>
    </row>
    <row r="185" ht="20.4" spans="1:14">
      <c r="A185" s="71">
        <v>138</v>
      </c>
      <c r="B185" s="71">
        <v>182</v>
      </c>
      <c r="C185" s="74">
        <v>45540</v>
      </c>
      <c r="D185" s="18" t="s">
        <v>87</v>
      </c>
      <c r="E185" s="75">
        <v>3</v>
      </c>
      <c r="F185" s="32" t="s">
        <v>778</v>
      </c>
      <c r="G185" s="75">
        <v>6</v>
      </c>
      <c r="H185" s="18" t="s">
        <v>33</v>
      </c>
      <c r="I185" s="6" t="s">
        <v>1070</v>
      </c>
      <c r="J185" s="6" t="s">
        <v>909</v>
      </c>
      <c r="K185" s="49" t="s">
        <v>16</v>
      </c>
      <c r="L185" s="48" t="s">
        <v>128</v>
      </c>
      <c r="M185" s="86"/>
      <c r="N185" s="64" t="str">
        <f t="shared" si="2"/>
        <v>511 331-2560 : MATHEMATICAL ANALYSIS (ฟ้า)</v>
      </c>
    </row>
    <row r="186" ht="20.4" spans="1:14">
      <c r="A186" s="71">
        <v>139</v>
      </c>
      <c r="B186" s="71">
        <v>183</v>
      </c>
      <c r="C186" s="74">
        <v>45540</v>
      </c>
      <c r="D186" s="18" t="s">
        <v>87</v>
      </c>
      <c r="E186" s="75">
        <v>3</v>
      </c>
      <c r="F186" s="32" t="s">
        <v>479</v>
      </c>
      <c r="G186" s="75">
        <v>101</v>
      </c>
      <c r="H186" s="18" t="s">
        <v>33</v>
      </c>
      <c r="I186" s="6" t="s">
        <v>1070</v>
      </c>
      <c r="J186" s="32" t="s">
        <v>880</v>
      </c>
      <c r="K186" s="49" t="s">
        <v>16</v>
      </c>
      <c r="L186" s="48" t="s">
        <v>119</v>
      </c>
      <c r="M186" s="86"/>
      <c r="N186" s="64" t="str">
        <f t="shared" si="2"/>
        <v>513 110-165 : ESSENTIAL CHEMISTRY FOR CHEMICAL ENGINEERS</v>
      </c>
    </row>
    <row r="187" ht="20.4" spans="1:14">
      <c r="A187" s="71">
        <v>140</v>
      </c>
      <c r="B187" s="71">
        <v>184</v>
      </c>
      <c r="C187" s="74">
        <v>45540</v>
      </c>
      <c r="D187" s="18" t="s">
        <v>87</v>
      </c>
      <c r="E187" s="75">
        <v>3</v>
      </c>
      <c r="F187" s="32" t="s">
        <v>481</v>
      </c>
      <c r="G187" s="75">
        <v>29</v>
      </c>
      <c r="H187" s="18" t="s">
        <v>13</v>
      </c>
      <c r="I187" s="6" t="s">
        <v>1071</v>
      </c>
      <c r="J187" s="6" t="s">
        <v>910</v>
      </c>
      <c r="K187" s="49" t="s">
        <v>16</v>
      </c>
      <c r="L187" s="48" t="s">
        <v>17</v>
      </c>
      <c r="M187" s="86"/>
      <c r="N187" s="64" t="str">
        <f t="shared" si="2"/>
        <v>511 331-165 : MATHEMATICAL ANALYSIS I</v>
      </c>
    </row>
    <row r="188" ht="20.4" spans="1:14">
      <c r="A188" s="71">
        <v>141</v>
      </c>
      <c r="B188" s="71">
        <v>185</v>
      </c>
      <c r="C188" s="74">
        <v>45540</v>
      </c>
      <c r="D188" s="18" t="s">
        <v>87</v>
      </c>
      <c r="E188" s="75">
        <v>3</v>
      </c>
      <c r="F188" s="32" t="s">
        <v>779</v>
      </c>
      <c r="G188" s="75">
        <v>7</v>
      </c>
      <c r="H188" s="18" t="s">
        <v>13</v>
      </c>
      <c r="I188" s="6" t="s">
        <v>1071</v>
      </c>
      <c r="J188" s="32" t="s">
        <v>898</v>
      </c>
      <c r="K188" s="49" t="s">
        <v>16</v>
      </c>
      <c r="L188" s="48" t="s">
        <v>17</v>
      </c>
      <c r="M188" s="86"/>
      <c r="N188" s="64" t="str">
        <f t="shared" si="2"/>
        <v>514 204-165 : GENERAL PHYSICS III (ฟ้า)</v>
      </c>
    </row>
    <row r="189" ht="20.4" spans="1:14">
      <c r="A189" s="71">
        <v>142</v>
      </c>
      <c r="B189" s="71">
        <v>186</v>
      </c>
      <c r="C189" s="74">
        <v>45540</v>
      </c>
      <c r="D189" s="18" t="s">
        <v>87</v>
      </c>
      <c r="E189" s="75">
        <v>3</v>
      </c>
      <c r="F189" s="32" t="s">
        <v>486</v>
      </c>
      <c r="G189" s="75">
        <v>25</v>
      </c>
      <c r="H189" s="18" t="s">
        <v>301</v>
      </c>
      <c r="I189" s="6" t="s">
        <v>1072</v>
      </c>
      <c r="J189" s="32" t="s">
        <v>903</v>
      </c>
      <c r="K189" s="49" t="s">
        <v>16</v>
      </c>
      <c r="L189" s="48" t="s">
        <v>17</v>
      </c>
      <c r="M189" s="86"/>
      <c r="N189" s="64" t="str">
        <f t="shared" si="2"/>
        <v>512 234-2560-165 : INVERTEBRATE ZOOLOGY LABORATORY</v>
      </c>
    </row>
    <row r="190" ht="40.8" spans="1:14">
      <c r="A190" s="71">
        <v>143</v>
      </c>
      <c r="B190" s="71">
        <v>187</v>
      </c>
      <c r="C190" s="74">
        <v>45540</v>
      </c>
      <c r="D190" s="18" t="s">
        <v>87</v>
      </c>
      <c r="E190" s="75">
        <v>3</v>
      </c>
      <c r="F190" s="32" t="s">
        <v>489</v>
      </c>
      <c r="G190" s="75">
        <v>164</v>
      </c>
      <c r="H190" s="18" t="s">
        <v>58</v>
      </c>
      <c r="I190" s="6" t="s">
        <v>1073</v>
      </c>
      <c r="J190" s="32" t="s">
        <v>880</v>
      </c>
      <c r="K190" s="49" t="s">
        <v>16</v>
      </c>
      <c r="L190" s="48" t="s">
        <v>36</v>
      </c>
      <c r="M190" s="86"/>
      <c r="N190" s="64" t="str">
        <f t="shared" si="2"/>
        <v>513 100-2560-165 : GENERAL CHEMISTRY</v>
      </c>
    </row>
    <row r="191" ht="20.4" spans="1:14">
      <c r="A191" s="71">
        <v>144</v>
      </c>
      <c r="B191" s="71">
        <v>188</v>
      </c>
      <c r="C191" s="74">
        <v>45540</v>
      </c>
      <c r="D191" s="18" t="s">
        <v>87</v>
      </c>
      <c r="E191" s="75">
        <v>3</v>
      </c>
      <c r="F191" s="32" t="s">
        <v>492</v>
      </c>
      <c r="G191" s="75">
        <v>87</v>
      </c>
      <c r="H191" s="18" t="s">
        <v>77</v>
      </c>
      <c r="I191" s="6" t="s">
        <v>1074</v>
      </c>
      <c r="J191" s="32" t="s">
        <v>911</v>
      </c>
      <c r="K191" s="49" t="s">
        <v>16</v>
      </c>
      <c r="L191" s="48" t="s">
        <v>17</v>
      </c>
      <c r="M191" s="86"/>
      <c r="N191" s="64" t="str">
        <f t="shared" si="2"/>
        <v>513 221-2560 : PHYSICAL CHEMISTRY I</v>
      </c>
    </row>
    <row r="192" ht="40.8" spans="1:14">
      <c r="A192" s="71">
        <v>145</v>
      </c>
      <c r="B192" s="71">
        <v>189</v>
      </c>
      <c r="C192" s="74">
        <v>45540</v>
      </c>
      <c r="D192" s="18" t="s">
        <v>87</v>
      </c>
      <c r="E192" s="75">
        <v>3</v>
      </c>
      <c r="F192" s="32" t="s">
        <v>780</v>
      </c>
      <c r="G192" s="75">
        <v>165</v>
      </c>
      <c r="H192" s="18" t="s">
        <v>73</v>
      </c>
      <c r="I192" s="6" t="s">
        <v>1075</v>
      </c>
      <c r="J192" s="6" t="s">
        <v>912</v>
      </c>
      <c r="K192" s="49" t="s">
        <v>16</v>
      </c>
      <c r="L192" s="48" t="s">
        <v>17</v>
      </c>
      <c r="M192" s="86"/>
      <c r="N192" s="64" t="str">
        <f t="shared" si="2"/>
        <v>517 321-2560-165 : PRINCIPLES OF PROGRAMMING LANGUAGES openbook</v>
      </c>
    </row>
    <row r="193" ht="40.8" spans="1:14">
      <c r="A193" s="71">
        <v>146</v>
      </c>
      <c r="B193" s="71">
        <v>190</v>
      </c>
      <c r="C193" s="74">
        <v>45540</v>
      </c>
      <c r="D193" s="18" t="s">
        <v>312</v>
      </c>
      <c r="E193" s="75">
        <v>4</v>
      </c>
      <c r="F193" s="32" t="s">
        <v>499</v>
      </c>
      <c r="G193" s="75">
        <v>21</v>
      </c>
      <c r="H193" s="18" t="s">
        <v>24</v>
      </c>
      <c r="I193" s="6" t="s">
        <v>1076</v>
      </c>
      <c r="J193" s="6" t="s">
        <v>913</v>
      </c>
      <c r="K193" s="49" t="s">
        <v>16</v>
      </c>
      <c r="L193" s="48" t="s">
        <v>17</v>
      </c>
      <c r="M193" s="86"/>
      <c r="N193" s="64" t="str">
        <f t="shared" si="2"/>
        <v>515 322-165 : EXPLORATORY DATA ANALYSIS AND DATA VISUALIZATION</v>
      </c>
    </row>
    <row r="194" ht="40.8" spans="1:14">
      <c r="A194" s="71">
        <v>147</v>
      </c>
      <c r="B194" s="71">
        <v>191</v>
      </c>
      <c r="C194" s="74">
        <v>45540</v>
      </c>
      <c r="D194" s="18" t="s">
        <v>312</v>
      </c>
      <c r="E194" s="75">
        <v>4</v>
      </c>
      <c r="F194" s="32" t="s">
        <v>462</v>
      </c>
      <c r="G194" s="75">
        <v>1</v>
      </c>
      <c r="H194" s="18" t="s">
        <v>68</v>
      </c>
      <c r="I194" s="6" t="s">
        <v>1065</v>
      </c>
      <c r="J194" s="6" t="s">
        <v>889</v>
      </c>
      <c r="K194" s="49" t="s">
        <v>115</v>
      </c>
      <c r="L194" s="48" t="s">
        <v>17</v>
      </c>
      <c r="M194" s="86"/>
      <c r="N194" s="64" t="str">
        <f t="shared" si="2"/>
        <v>517 341-160 : COMPUTER NETWORK ARCHITECTURE AND TECHNOLOGY</v>
      </c>
    </row>
    <row r="195" ht="40.8" spans="1:14">
      <c r="A195" s="71">
        <v>147</v>
      </c>
      <c r="B195" s="71">
        <v>192</v>
      </c>
      <c r="C195" s="78">
        <v>45540</v>
      </c>
      <c r="D195" s="20" t="s">
        <v>312</v>
      </c>
      <c r="E195" s="77">
        <v>4</v>
      </c>
      <c r="F195" s="35" t="s">
        <v>464</v>
      </c>
      <c r="G195" s="77">
        <v>54</v>
      </c>
      <c r="H195" s="20" t="s">
        <v>68</v>
      </c>
      <c r="I195" s="7" t="s">
        <v>1065</v>
      </c>
      <c r="J195" s="7" t="s">
        <v>889</v>
      </c>
      <c r="K195" s="51" t="s">
        <v>16</v>
      </c>
      <c r="L195" s="50" t="s">
        <v>17</v>
      </c>
      <c r="M195" s="86"/>
      <c r="N195" s="64" t="str">
        <f t="shared" si="2"/>
        <v>520 342-2560 : COMPUTER NETWORK ARCHITECTURE AND TECHNOLOGY</v>
      </c>
    </row>
    <row r="196" ht="20.4" spans="1:14">
      <c r="A196" s="71">
        <v>148</v>
      </c>
      <c r="B196" s="71">
        <v>193</v>
      </c>
      <c r="C196" s="79">
        <v>45541</v>
      </c>
      <c r="D196" s="21" t="s">
        <v>11</v>
      </c>
      <c r="E196" s="80">
        <v>2</v>
      </c>
      <c r="F196" s="39" t="s">
        <v>502</v>
      </c>
      <c r="G196" s="80">
        <v>27</v>
      </c>
      <c r="H196" s="21" t="s">
        <v>301</v>
      </c>
      <c r="I196" s="8" t="s">
        <v>1077</v>
      </c>
      <c r="J196" s="39" t="s">
        <v>914</v>
      </c>
      <c r="K196" s="53" t="s">
        <v>16</v>
      </c>
      <c r="L196" s="55" t="s">
        <v>17</v>
      </c>
      <c r="M196" s="86"/>
      <c r="N196" s="64" t="str">
        <f t="shared" si="2"/>
        <v>512 362-2560 : DNA MARKERS AND APPLICATIONS</v>
      </c>
    </row>
    <row r="197" ht="20.4" spans="1:14">
      <c r="A197" s="71">
        <v>149</v>
      </c>
      <c r="B197" s="71">
        <v>194</v>
      </c>
      <c r="C197" s="74">
        <v>45541</v>
      </c>
      <c r="D197" s="18" t="s">
        <v>11</v>
      </c>
      <c r="E197" s="75">
        <v>2</v>
      </c>
      <c r="F197" s="32" t="s">
        <v>211</v>
      </c>
      <c r="G197" s="75">
        <v>40</v>
      </c>
      <c r="H197" s="18" t="s">
        <v>24</v>
      </c>
      <c r="I197" s="6" t="s">
        <v>1078</v>
      </c>
      <c r="J197" s="6" t="s">
        <v>868</v>
      </c>
      <c r="K197" s="49" t="s">
        <v>115</v>
      </c>
      <c r="L197" s="48" t="s">
        <v>17</v>
      </c>
      <c r="M197" s="86"/>
      <c r="N197" s="64" t="str">
        <f t="shared" ref="N197:N260" si="3">TRIM(F197)</f>
        <v>515 203-165 : STATISTICS FOR BIOLOGICAL SCIENTISTS I</v>
      </c>
    </row>
    <row r="198" ht="20.4" spans="1:14">
      <c r="A198" s="71">
        <v>149</v>
      </c>
      <c r="B198" s="71">
        <v>195</v>
      </c>
      <c r="C198" s="74">
        <v>45541</v>
      </c>
      <c r="D198" s="18" t="s">
        <v>11</v>
      </c>
      <c r="E198" s="75">
        <v>2</v>
      </c>
      <c r="F198" s="32" t="s">
        <v>211</v>
      </c>
      <c r="G198" s="75">
        <v>73</v>
      </c>
      <c r="H198" s="18" t="s">
        <v>27</v>
      </c>
      <c r="I198" s="6" t="s">
        <v>1079</v>
      </c>
      <c r="J198" s="6" t="s">
        <v>868</v>
      </c>
      <c r="K198" s="49" t="s">
        <v>115</v>
      </c>
      <c r="L198" s="48" t="s">
        <v>17</v>
      </c>
      <c r="M198" s="86"/>
      <c r="N198" s="64" t="str">
        <f t="shared" si="3"/>
        <v>515 203-165 : STATISTICS FOR BIOLOGICAL SCIENTISTS I</v>
      </c>
    </row>
    <row r="199" ht="20.4" spans="1:14">
      <c r="A199" s="71">
        <v>150</v>
      </c>
      <c r="B199" s="71">
        <v>196</v>
      </c>
      <c r="C199" s="74">
        <v>45541</v>
      </c>
      <c r="D199" s="18" t="s">
        <v>31</v>
      </c>
      <c r="E199" s="75">
        <v>3</v>
      </c>
      <c r="F199" s="32" t="s">
        <v>508</v>
      </c>
      <c r="G199" s="75">
        <v>64</v>
      </c>
      <c r="H199" s="18" t="s">
        <v>135</v>
      </c>
      <c r="I199" s="6" t="s">
        <v>1080</v>
      </c>
      <c r="J199" s="32" t="s">
        <v>915</v>
      </c>
      <c r="K199" s="49" t="s">
        <v>16</v>
      </c>
      <c r="L199" s="48" t="s">
        <v>17</v>
      </c>
      <c r="M199" s="86"/>
      <c r="N199" s="64" t="str">
        <f t="shared" si="3"/>
        <v>512 200-165 : STRUCTURES AND FUNCTIONS OF LIFE</v>
      </c>
    </row>
    <row r="200" ht="20.4" spans="1:14">
      <c r="A200" s="71">
        <v>150</v>
      </c>
      <c r="B200" s="71">
        <v>197</v>
      </c>
      <c r="C200" s="74">
        <v>45541</v>
      </c>
      <c r="D200" s="18" t="s">
        <v>31</v>
      </c>
      <c r="E200" s="75">
        <v>3</v>
      </c>
      <c r="F200" s="32" t="s">
        <v>508</v>
      </c>
      <c r="G200" s="75">
        <v>18</v>
      </c>
      <c r="H200" s="18" t="s">
        <v>246</v>
      </c>
      <c r="I200" s="6" t="s">
        <v>1081</v>
      </c>
      <c r="J200" s="32" t="s">
        <v>915</v>
      </c>
      <c r="K200" s="49" t="s">
        <v>16</v>
      </c>
      <c r="L200" s="48" t="s">
        <v>17</v>
      </c>
      <c r="M200" s="86"/>
      <c r="N200" s="64" t="str">
        <f t="shared" si="3"/>
        <v>512 200-165 : STRUCTURES AND FUNCTIONS OF LIFE</v>
      </c>
    </row>
    <row r="201" ht="40.8" spans="1:14">
      <c r="A201" s="71">
        <v>151</v>
      </c>
      <c r="B201" s="71">
        <v>198</v>
      </c>
      <c r="C201" s="74">
        <v>45541</v>
      </c>
      <c r="D201" s="18" t="s">
        <v>31</v>
      </c>
      <c r="E201" s="75">
        <v>3</v>
      </c>
      <c r="F201" s="32" t="s">
        <v>783</v>
      </c>
      <c r="G201" s="75">
        <v>31</v>
      </c>
      <c r="H201" s="18" t="s">
        <v>246</v>
      </c>
      <c r="I201" s="6" t="s">
        <v>1081</v>
      </c>
      <c r="J201" s="6" t="s">
        <v>916</v>
      </c>
      <c r="K201" s="49" t="s">
        <v>16</v>
      </c>
      <c r="L201" s="48" t="s">
        <v>17</v>
      </c>
      <c r="M201" s="86"/>
      <c r="N201" s="64" t="str">
        <f t="shared" si="3"/>
        <v>517 222-165 : COMPUTER ORGANIZATION AND ARCHITECTURE (ฟ้า)</v>
      </c>
    </row>
    <row r="202" ht="40.8" spans="1:14">
      <c r="A202" s="71">
        <v>151</v>
      </c>
      <c r="B202" s="71">
        <v>199</v>
      </c>
      <c r="C202" s="74">
        <v>45541</v>
      </c>
      <c r="D202" s="18" t="s">
        <v>31</v>
      </c>
      <c r="E202" s="75">
        <v>3</v>
      </c>
      <c r="F202" s="32" t="s">
        <v>783</v>
      </c>
      <c r="G202" s="75">
        <v>58</v>
      </c>
      <c r="H202" s="18" t="s">
        <v>104</v>
      </c>
      <c r="I202" s="6" t="s">
        <v>1082</v>
      </c>
      <c r="J202" s="6" t="s">
        <v>916</v>
      </c>
      <c r="K202" s="49" t="s">
        <v>16</v>
      </c>
      <c r="L202" s="48" t="s">
        <v>17</v>
      </c>
      <c r="M202" s="86"/>
      <c r="N202" s="64" t="str">
        <f t="shared" si="3"/>
        <v>517 222-165 : COMPUTER ORGANIZATION AND ARCHITECTURE (ฟ้า)</v>
      </c>
    </row>
    <row r="203" ht="40.8" spans="1:14">
      <c r="A203" s="71">
        <v>152</v>
      </c>
      <c r="B203" s="71">
        <v>200</v>
      </c>
      <c r="C203" s="74">
        <v>45541</v>
      </c>
      <c r="D203" s="18" t="s">
        <v>31</v>
      </c>
      <c r="E203" s="75">
        <v>3</v>
      </c>
      <c r="F203" s="32" t="s">
        <v>516</v>
      </c>
      <c r="G203" s="75">
        <v>414</v>
      </c>
      <c r="H203" s="18" t="s">
        <v>44</v>
      </c>
      <c r="I203" s="6" t="s">
        <v>1083</v>
      </c>
      <c r="J203" s="32" t="s">
        <v>904</v>
      </c>
      <c r="K203" s="49" t="s">
        <v>16</v>
      </c>
      <c r="L203" s="48" t="s">
        <v>36</v>
      </c>
      <c r="M203" s="86"/>
      <c r="N203" s="64" t="str">
        <f t="shared" si="3"/>
        <v>513 101-2560-165 : GENERAL CHEMISTRY I</v>
      </c>
    </row>
    <row r="204" ht="40.8" spans="1:14">
      <c r="A204" s="71">
        <v>153</v>
      </c>
      <c r="B204" s="71">
        <v>201</v>
      </c>
      <c r="C204" s="74">
        <v>45541</v>
      </c>
      <c r="D204" s="18" t="s">
        <v>31</v>
      </c>
      <c r="E204" s="75">
        <v>3</v>
      </c>
      <c r="F204" s="32" t="s">
        <v>519</v>
      </c>
      <c r="G204" s="75">
        <v>270</v>
      </c>
      <c r="H204" s="18" t="s">
        <v>39</v>
      </c>
      <c r="I204" s="6" t="s">
        <v>1084</v>
      </c>
      <c r="J204" s="32" t="s">
        <v>904</v>
      </c>
      <c r="K204" s="49" t="s">
        <v>16</v>
      </c>
      <c r="L204" s="48" t="s">
        <v>36</v>
      </c>
      <c r="M204" s="86"/>
      <c r="N204" s="64" t="str">
        <f t="shared" si="3"/>
        <v>513 101-165 : GENERAL CHEMISTRY I</v>
      </c>
    </row>
    <row r="205" ht="40.8" spans="1:14">
      <c r="A205" s="71">
        <v>153</v>
      </c>
      <c r="B205" s="71">
        <v>202</v>
      </c>
      <c r="C205" s="74">
        <v>45541</v>
      </c>
      <c r="D205" s="18" t="s">
        <v>31</v>
      </c>
      <c r="E205" s="75">
        <v>3</v>
      </c>
      <c r="F205" s="32" t="s">
        <v>519</v>
      </c>
      <c r="G205" s="75">
        <v>187</v>
      </c>
      <c r="H205" s="18" t="s">
        <v>58</v>
      </c>
      <c r="I205" s="6" t="s">
        <v>1085</v>
      </c>
      <c r="J205" s="32" t="s">
        <v>904</v>
      </c>
      <c r="K205" s="49" t="s">
        <v>16</v>
      </c>
      <c r="L205" s="48" t="s">
        <v>522</v>
      </c>
      <c r="M205" s="86"/>
      <c r="N205" s="64" t="str">
        <f t="shared" si="3"/>
        <v>513 101-165 : GENERAL CHEMISTRY I</v>
      </c>
    </row>
    <row r="206" ht="40.8" spans="1:14">
      <c r="A206" s="71">
        <v>154</v>
      </c>
      <c r="B206" s="71">
        <v>203</v>
      </c>
      <c r="C206" s="74">
        <v>45541</v>
      </c>
      <c r="D206" s="18" t="s">
        <v>31</v>
      </c>
      <c r="E206" s="75">
        <v>3</v>
      </c>
      <c r="F206" s="32" t="s">
        <v>784</v>
      </c>
      <c r="G206" s="75">
        <v>27</v>
      </c>
      <c r="H206" s="18" t="s">
        <v>58</v>
      </c>
      <c r="I206" s="6" t="s">
        <v>1085</v>
      </c>
      <c r="J206" s="6" t="s">
        <v>841</v>
      </c>
      <c r="K206" s="49" t="s">
        <v>16</v>
      </c>
      <c r="L206" s="48" t="s">
        <v>524</v>
      </c>
      <c r="M206" s="86"/>
      <c r="N206" s="64" t="str">
        <f t="shared" si="3"/>
        <v>511 251-162-165 : NUMBER THEORY I (ฟ้า)</v>
      </c>
    </row>
    <row r="207" ht="20.4" spans="1:14">
      <c r="A207" s="71">
        <v>155</v>
      </c>
      <c r="B207" s="71">
        <v>204</v>
      </c>
      <c r="C207" s="74">
        <v>45541</v>
      </c>
      <c r="D207" s="18" t="s">
        <v>31</v>
      </c>
      <c r="E207" s="75">
        <v>3</v>
      </c>
      <c r="F207" s="32" t="s">
        <v>525</v>
      </c>
      <c r="G207" s="75">
        <v>91</v>
      </c>
      <c r="H207" s="18" t="s">
        <v>77</v>
      </c>
      <c r="I207" s="6" t="s">
        <v>1086</v>
      </c>
      <c r="J207" s="32" t="s">
        <v>828</v>
      </c>
      <c r="K207" s="49" t="s">
        <v>16</v>
      </c>
      <c r="L207" s="48" t="s">
        <v>17</v>
      </c>
      <c r="M207" s="86"/>
      <c r="N207" s="64" t="str">
        <f t="shared" si="3"/>
        <v>513 106-165 : BASIC CHEMISTRY</v>
      </c>
    </row>
    <row r="208" ht="40.8" spans="1:14">
      <c r="A208" s="71">
        <v>156</v>
      </c>
      <c r="B208" s="71">
        <v>205</v>
      </c>
      <c r="C208" s="74">
        <v>45541</v>
      </c>
      <c r="D208" s="18" t="s">
        <v>31</v>
      </c>
      <c r="E208" s="75">
        <v>3</v>
      </c>
      <c r="F208" s="32" t="s">
        <v>528</v>
      </c>
      <c r="G208" s="75">
        <v>173</v>
      </c>
      <c r="H208" s="18" t="s">
        <v>33</v>
      </c>
      <c r="I208" s="6" t="s">
        <v>1087</v>
      </c>
      <c r="J208" s="32" t="s">
        <v>917</v>
      </c>
      <c r="K208" s="49" t="s">
        <v>16</v>
      </c>
      <c r="L208" s="48" t="s">
        <v>36</v>
      </c>
      <c r="M208" s="86"/>
      <c r="N208" s="64" t="str">
        <f t="shared" si="3"/>
        <v>513 108-165 : GENERAL CHEMISTRY FOR PHARMACY STUDENTS</v>
      </c>
    </row>
    <row r="209" ht="20.4" spans="1:14">
      <c r="A209" s="71">
        <v>157</v>
      </c>
      <c r="B209" s="71">
        <v>206</v>
      </c>
      <c r="C209" s="74">
        <v>45541</v>
      </c>
      <c r="D209" s="18" t="s">
        <v>31</v>
      </c>
      <c r="E209" s="75">
        <v>3</v>
      </c>
      <c r="F209" s="32" t="s">
        <v>532</v>
      </c>
      <c r="G209" s="75">
        <v>70</v>
      </c>
      <c r="H209" s="18" t="s">
        <v>13</v>
      </c>
      <c r="I209" s="6" t="s">
        <v>1088</v>
      </c>
      <c r="J209" s="32" t="s">
        <v>918</v>
      </c>
      <c r="K209" s="49" t="s">
        <v>16</v>
      </c>
      <c r="L209" s="48" t="s">
        <v>17</v>
      </c>
      <c r="M209" s="86"/>
      <c r="N209" s="64" t="str">
        <f t="shared" si="3"/>
        <v>514 114-165 : ESSENTIAL PHYSICS FOR CHEMICAL ENGINEERS</v>
      </c>
    </row>
    <row r="210" ht="20.4" spans="1:14">
      <c r="A210" s="71">
        <v>157</v>
      </c>
      <c r="B210" s="71">
        <v>207</v>
      </c>
      <c r="C210" s="74">
        <v>45541</v>
      </c>
      <c r="D210" s="18" t="s">
        <v>31</v>
      </c>
      <c r="E210" s="75">
        <v>3</v>
      </c>
      <c r="F210" s="32" t="s">
        <v>532</v>
      </c>
      <c r="G210" s="75">
        <v>31</v>
      </c>
      <c r="H210" s="18" t="s">
        <v>49</v>
      </c>
      <c r="I210" s="6" t="s">
        <v>1089</v>
      </c>
      <c r="J210" s="32" t="s">
        <v>918</v>
      </c>
      <c r="K210" s="49" t="s">
        <v>16</v>
      </c>
      <c r="L210" s="48" t="s">
        <v>17</v>
      </c>
      <c r="M210" s="86"/>
      <c r="N210" s="64" t="str">
        <f t="shared" si="3"/>
        <v>514 114-165 : ESSENTIAL PHYSICS FOR CHEMICAL ENGINEERS</v>
      </c>
    </row>
    <row r="211" ht="20.4" spans="1:14">
      <c r="A211" s="71">
        <v>158</v>
      </c>
      <c r="B211" s="71">
        <v>208</v>
      </c>
      <c r="C211" s="74">
        <v>45541</v>
      </c>
      <c r="D211" s="18" t="s">
        <v>31</v>
      </c>
      <c r="E211" s="75">
        <v>3</v>
      </c>
      <c r="F211" s="32" t="s">
        <v>785</v>
      </c>
      <c r="G211" s="75">
        <v>13</v>
      </c>
      <c r="H211" s="18" t="s">
        <v>49</v>
      </c>
      <c r="I211" s="6" t="s">
        <v>1089</v>
      </c>
      <c r="J211" s="32" t="s">
        <v>842</v>
      </c>
      <c r="K211" s="49" t="s">
        <v>16</v>
      </c>
      <c r="L211" s="48" t="s">
        <v>17</v>
      </c>
      <c r="M211" s="86"/>
      <c r="N211" s="64" t="str">
        <f t="shared" si="3"/>
        <v>513 352-2560 : ADVANCED ORGANIC CHEMISTRY II (ฟ้า)</v>
      </c>
    </row>
    <row r="212" ht="20.4" spans="1:14">
      <c r="A212" s="71">
        <v>159</v>
      </c>
      <c r="B212" s="71">
        <v>209</v>
      </c>
      <c r="C212" s="74">
        <v>45541</v>
      </c>
      <c r="D212" s="18" t="s">
        <v>31</v>
      </c>
      <c r="E212" s="75">
        <v>3</v>
      </c>
      <c r="F212" s="32" t="s">
        <v>786</v>
      </c>
      <c r="G212" s="75">
        <v>12</v>
      </c>
      <c r="H212" s="18" t="s">
        <v>49</v>
      </c>
      <c r="I212" s="6" t="s">
        <v>1089</v>
      </c>
      <c r="J212" s="6" t="s">
        <v>919</v>
      </c>
      <c r="K212" s="49" t="s">
        <v>16</v>
      </c>
      <c r="L212" s="48" t="s">
        <v>17</v>
      </c>
      <c r="M212" s="86"/>
      <c r="N212" s="64" t="str">
        <f t="shared" si="3"/>
        <v>515 351-165 : FUNDAMENTALS OF ACTUARIAL MATHEMATICS (ส้ม)</v>
      </c>
    </row>
    <row r="213" ht="40.8" spans="1:14">
      <c r="A213" s="71">
        <v>160</v>
      </c>
      <c r="B213" s="71">
        <v>210</v>
      </c>
      <c r="C213" s="74">
        <v>45541</v>
      </c>
      <c r="D213" s="18" t="s">
        <v>31</v>
      </c>
      <c r="E213" s="75">
        <v>3</v>
      </c>
      <c r="F213" s="32" t="s">
        <v>787</v>
      </c>
      <c r="G213" s="75">
        <v>4</v>
      </c>
      <c r="H213" s="18" t="s">
        <v>53</v>
      </c>
      <c r="I213" s="6" t="s">
        <v>1090</v>
      </c>
      <c r="J213" s="6" t="s">
        <v>918</v>
      </c>
      <c r="K213" s="49" t="s">
        <v>16</v>
      </c>
      <c r="L213" s="48" t="s">
        <v>17</v>
      </c>
      <c r="M213" s="86"/>
      <c r="N213" s="64" t="str">
        <f t="shared" si="3"/>
        <v>514 356-2560 : INTRODUCTION TO MATERIALS CHARACTERIZATION (ฟ้า)</v>
      </c>
    </row>
    <row r="214" ht="40.8" spans="1:14">
      <c r="A214" s="71">
        <v>161</v>
      </c>
      <c r="B214" s="71">
        <v>211</v>
      </c>
      <c r="C214" s="74">
        <v>45541</v>
      </c>
      <c r="D214" s="18" t="s">
        <v>31</v>
      </c>
      <c r="E214" s="75">
        <v>3</v>
      </c>
      <c r="F214" s="32" t="s">
        <v>542</v>
      </c>
      <c r="G214" s="75">
        <v>50</v>
      </c>
      <c r="H214" s="18" t="s">
        <v>53</v>
      </c>
      <c r="I214" s="6" t="s">
        <v>1090</v>
      </c>
      <c r="J214" s="6" t="s">
        <v>852</v>
      </c>
      <c r="K214" s="49" t="s">
        <v>16</v>
      </c>
      <c r="L214" s="48" t="s">
        <v>17</v>
      </c>
      <c r="M214" s="86"/>
      <c r="N214" s="64" t="str">
        <f t="shared" si="3"/>
        <v>522 251-2561-165 : DATABASE SYSTEMS FOR DATA SCIENCE</v>
      </c>
    </row>
    <row r="215" ht="20.4" spans="1:14">
      <c r="A215" s="71">
        <v>162</v>
      </c>
      <c r="B215" s="71">
        <v>212</v>
      </c>
      <c r="C215" s="74">
        <v>45541</v>
      </c>
      <c r="D215" s="18" t="s">
        <v>31</v>
      </c>
      <c r="E215" s="75">
        <v>3</v>
      </c>
      <c r="F215" s="32" t="s">
        <v>543</v>
      </c>
      <c r="G215" s="75">
        <v>65</v>
      </c>
      <c r="H215" s="18" t="s">
        <v>63</v>
      </c>
      <c r="I215" s="6" t="s">
        <v>1091</v>
      </c>
      <c r="J215" s="32" t="s">
        <v>872</v>
      </c>
      <c r="K215" s="49" t="s">
        <v>16</v>
      </c>
      <c r="L215" s="48" t="s">
        <v>17</v>
      </c>
      <c r="M215" s="86"/>
      <c r="N215" s="64" t="str">
        <f t="shared" si="3"/>
        <v>520 342-165 : SERVER SIDE WEB PROGRAMMING</v>
      </c>
    </row>
    <row r="216" ht="20.4" spans="1:14">
      <c r="A216" s="71">
        <v>163</v>
      </c>
      <c r="B216" s="71">
        <v>213</v>
      </c>
      <c r="C216" s="74">
        <v>45541</v>
      </c>
      <c r="D216" s="21" t="s">
        <v>31</v>
      </c>
      <c r="E216" s="80">
        <v>3</v>
      </c>
      <c r="F216" s="39" t="s">
        <v>788</v>
      </c>
      <c r="G216" s="80">
        <v>7</v>
      </c>
      <c r="H216" s="21" t="s">
        <v>547</v>
      </c>
      <c r="I216" s="8" t="s">
        <v>1092</v>
      </c>
      <c r="J216" s="39" t="s">
        <v>900</v>
      </c>
      <c r="K216" s="53" t="s">
        <v>16</v>
      </c>
      <c r="L216" s="55" t="s">
        <v>17</v>
      </c>
      <c r="M216" s="86"/>
      <c r="N216" s="64" t="str">
        <f t="shared" si="3"/>
        <v>519 391-165 : RESEARCH METHODOLOGY openbook</v>
      </c>
    </row>
    <row r="217" ht="40.8" spans="1:14">
      <c r="A217" s="71">
        <v>164</v>
      </c>
      <c r="B217" s="71">
        <v>214</v>
      </c>
      <c r="C217" s="74">
        <v>45541</v>
      </c>
      <c r="D217" s="20" t="s">
        <v>31</v>
      </c>
      <c r="E217" s="77">
        <v>3</v>
      </c>
      <c r="F217" s="35" t="s">
        <v>549</v>
      </c>
      <c r="G217" s="77">
        <v>144</v>
      </c>
      <c r="H217" s="20" t="s">
        <v>73</v>
      </c>
      <c r="I217" s="7" t="s">
        <v>1093</v>
      </c>
      <c r="J217" s="7" t="s">
        <v>837</v>
      </c>
      <c r="K217" s="51" t="s">
        <v>16</v>
      </c>
      <c r="L217" s="50" t="s">
        <v>36</v>
      </c>
      <c r="M217" s="86"/>
      <c r="N217" s="64" t="str">
        <f t="shared" si="3"/>
        <v>520 487-2560 : SELECTED TOPICS IN INFORMATION TECHNOLOGY VII</v>
      </c>
    </row>
    <row r="218" ht="20.4" spans="1:14">
      <c r="A218" s="71">
        <v>165</v>
      </c>
      <c r="B218" s="71">
        <v>215</v>
      </c>
      <c r="C218" s="74">
        <v>45541</v>
      </c>
      <c r="D218" s="21" t="s">
        <v>80</v>
      </c>
      <c r="E218" s="80">
        <v>2</v>
      </c>
      <c r="F218" s="39" t="s">
        <v>543</v>
      </c>
      <c r="G218" s="80">
        <v>65</v>
      </c>
      <c r="H218" s="21" t="s">
        <v>246</v>
      </c>
      <c r="I218" s="8" t="s">
        <v>1094</v>
      </c>
      <c r="J218" s="39" t="s">
        <v>872</v>
      </c>
      <c r="K218" s="53" t="s">
        <v>16</v>
      </c>
      <c r="L218" s="55" t="s">
        <v>17</v>
      </c>
      <c r="M218" s="86"/>
      <c r="N218" s="64" t="str">
        <f t="shared" si="3"/>
        <v>520 342-165 : SERVER SIDE WEB PROGRAMMING</v>
      </c>
    </row>
    <row r="219" ht="40.8" spans="1:14">
      <c r="A219" s="71">
        <v>166</v>
      </c>
      <c r="B219" s="71">
        <v>216</v>
      </c>
      <c r="C219" s="74">
        <v>45541</v>
      </c>
      <c r="D219" s="18" t="s">
        <v>87</v>
      </c>
      <c r="E219" s="75">
        <v>3</v>
      </c>
      <c r="F219" s="32" t="s">
        <v>552</v>
      </c>
      <c r="G219" s="75">
        <v>51</v>
      </c>
      <c r="H219" s="18" t="s">
        <v>13</v>
      </c>
      <c r="I219" s="6" t="s">
        <v>1095</v>
      </c>
      <c r="J219" s="6" t="s">
        <v>841</v>
      </c>
      <c r="K219" s="49" t="s">
        <v>16</v>
      </c>
      <c r="L219" s="48" t="s">
        <v>17</v>
      </c>
      <c r="M219" s="86"/>
      <c r="N219" s="64" t="str">
        <f t="shared" si="3"/>
        <v>511 351-2560-165 : INTRODUCTION TO GRAPH THEORY</v>
      </c>
    </row>
    <row r="220" ht="20.4" spans="1:14">
      <c r="A220" s="71">
        <v>167</v>
      </c>
      <c r="B220" s="71">
        <v>217</v>
      </c>
      <c r="C220" s="74">
        <v>45541</v>
      </c>
      <c r="D220" s="18" t="s">
        <v>87</v>
      </c>
      <c r="E220" s="75">
        <v>3</v>
      </c>
      <c r="F220" s="32" t="s">
        <v>789</v>
      </c>
      <c r="G220" s="75">
        <v>6</v>
      </c>
      <c r="H220" s="18" t="s">
        <v>13</v>
      </c>
      <c r="I220" s="6" t="s">
        <v>1095</v>
      </c>
      <c r="J220" s="6" t="s">
        <v>920</v>
      </c>
      <c r="K220" s="49" t="s">
        <v>16</v>
      </c>
      <c r="L220" s="48" t="s">
        <v>17</v>
      </c>
      <c r="M220" s="86"/>
      <c r="N220" s="64" t="str">
        <f t="shared" si="3"/>
        <v>514 302-165 : INTRODUCTION TO SOLID STATE PHYSICS (ฟ้า)</v>
      </c>
    </row>
    <row r="221" ht="20.4" spans="1:14">
      <c r="A221" s="71">
        <v>168</v>
      </c>
      <c r="B221" s="71">
        <v>218</v>
      </c>
      <c r="C221" s="74">
        <v>45541</v>
      </c>
      <c r="D221" s="18" t="s">
        <v>87</v>
      </c>
      <c r="E221" s="75">
        <v>3</v>
      </c>
      <c r="F221" s="32" t="s">
        <v>556</v>
      </c>
      <c r="G221" s="75">
        <v>44</v>
      </c>
      <c r="H221" s="18" t="s">
        <v>63</v>
      </c>
      <c r="I221" s="6" t="s">
        <v>1096</v>
      </c>
      <c r="J221" s="32" t="s">
        <v>879</v>
      </c>
      <c r="K221" s="49" t="s">
        <v>16</v>
      </c>
      <c r="L221" s="48" t="s">
        <v>17</v>
      </c>
      <c r="M221" s="86"/>
      <c r="N221" s="64" t="str">
        <f t="shared" si="3"/>
        <v>512 236-2560-165 : VERTEBRATE ZOOLOGY LABORATORY</v>
      </c>
    </row>
    <row r="222" ht="40.8" spans="1:14">
      <c r="A222" s="71">
        <v>169</v>
      </c>
      <c r="B222" s="71">
        <v>219</v>
      </c>
      <c r="C222" s="74">
        <v>45541</v>
      </c>
      <c r="D222" s="18" t="s">
        <v>87</v>
      </c>
      <c r="E222" s="75">
        <v>3</v>
      </c>
      <c r="F222" s="32" t="s">
        <v>558</v>
      </c>
      <c r="G222" s="75">
        <v>149</v>
      </c>
      <c r="H222" s="18" t="s">
        <v>33</v>
      </c>
      <c r="I222" s="6" t="s">
        <v>1097</v>
      </c>
      <c r="J222" s="32" t="s">
        <v>921</v>
      </c>
      <c r="K222" s="49" t="s">
        <v>16</v>
      </c>
      <c r="L222" s="48" t="s">
        <v>36</v>
      </c>
      <c r="M222" s="86"/>
      <c r="N222" s="64" t="str">
        <f t="shared" si="3"/>
        <v>513 251-2560-165 : ORGANIC CHEMISTRY I</v>
      </c>
    </row>
    <row r="223" ht="20.4" spans="1:14">
      <c r="A223" s="71">
        <v>170</v>
      </c>
      <c r="B223" s="71">
        <v>220</v>
      </c>
      <c r="C223" s="74">
        <v>45541</v>
      </c>
      <c r="D223" s="18" t="s">
        <v>87</v>
      </c>
      <c r="E223" s="75">
        <v>3</v>
      </c>
      <c r="F223" s="32" t="s">
        <v>562</v>
      </c>
      <c r="G223" s="75">
        <v>45</v>
      </c>
      <c r="H223" s="18" t="s">
        <v>49</v>
      </c>
      <c r="I223" s="6" t="s">
        <v>1098</v>
      </c>
      <c r="J223" s="6" t="s">
        <v>858</v>
      </c>
      <c r="K223" s="49" t="s">
        <v>16</v>
      </c>
      <c r="L223" s="48" t="s">
        <v>17</v>
      </c>
      <c r="M223" s="86"/>
      <c r="N223" s="64" t="str">
        <f t="shared" si="3"/>
        <v>515 231-165 : PROBABILITY AND STOCHASTIC PROCESS</v>
      </c>
    </row>
    <row r="224" ht="20.4" spans="1:14">
      <c r="A224" s="71">
        <v>171</v>
      </c>
      <c r="B224" s="71">
        <v>221</v>
      </c>
      <c r="C224" s="74">
        <v>45541</v>
      </c>
      <c r="D224" s="18" t="s">
        <v>87</v>
      </c>
      <c r="E224" s="75">
        <v>3</v>
      </c>
      <c r="F224" s="32" t="s">
        <v>564</v>
      </c>
      <c r="G224" s="75">
        <v>43</v>
      </c>
      <c r="H224" s="18" t="s">
        <v>53</v>
      </c>
      <c r="I224" s="6" t="s">
        <v>1099</v>
      </c>
      <c r="J224" s="6" t="s">
        <v>902</v>
      </c>
      <c r="K224" s="49" t="s">
        <v>16</v>
      </c>
      <c r="L224" s="48" t="s">
        <v>17</v>
      </c>
      <c r="M224" s="86"/>
      <c r="N224" s="64" t="str">
        <f t="shared" si="3"/>
        <v>518 211-165 : APPLIED MYCOLOGY</v>
      </c>
    </row>
    <row r="225" ht="20.4" spans="1:14">
      <c r="A225" s="71">
        <v>172</v>
      </c>
      <c r="B225" s="71">
        <v>222</v>
      </c>
      <c r="C225" s="74">
        <v>45541</v>
      </c>
      <c r="D225" s="18" t="s">
        <v>87</v>
      </c>
      <c r="E225" s="75">
        <v>3</v>
      </c>
      <c r="F225" s="32" t="s">
        <v>566</v>
      </c>
      <c r="G225" s="75">
        <v>50</v>
      </c>
      <c r="H225" s="18" t="s">
        <v>315</v>
      </c>
      <c r="I225" s="6" t="s">
        <v>954</v>
      </c>
      <c r="J225" s="6" t="s">
        <v>836</v>
      </c>
      <c r="K225" s="49" t="s">
        <v>16</v>
      </c>
      <c r="L225" s="48" t="s">
        <v>17</v>
      </c>
      <c r="M225" s="86"/>
      <c r="N225" s="64" t="str">
        <f t="shared" si="3"/>
        <v>520 442-160 : WEB SERVICE</v>
      </c>
    </row>
    <row r="226" ht="20.4" spans="1:14">
      <c r="A226" s="71">
        <v>173</v>
      </c>
      <c r="B226" s="71">
        <v>223</v>
      </c>
      <c r="C226" s="74">
        <v>45541</v>
      </c>
      <c r="D226" s="18" t="s">
        <v>87</v>
      </c>
      <c r="E226" s="75">
        <v>3</v>
      </c>
      <c r="F226" s="32" t="s">
        <v>567</v>
      </c>
      <c r="G226" s="75">
        <v>18</v>
      </c>
      <c r="H226" s="18" t="s">
        <v>77</v>
      </c>
      <c r="I226" s="6" t="s">
        <v>1100</v>
      </c>
      <c r="J226" s="32" t="s">
        <v>856</v>
      </c>
      <c r="K226" s="49" t="s">
        <v>16</v>
      </c>
      <c r="L226" s="48" t="s">
        <v>17</v>
      </c>
      <c r="M226" s="86"/>
      <c r="N226" s="64" t="str">
        <f t="shared" si="3"/>
        <v>520 212-2560 : LAWS AND ETHICS IN INFORMATION TECHNOLOGY</v>
      </c>
    </row>
    <row r="227" ht="20.4" spans="1:14">
      <c r="A227" s="71">
        <v>173</v>
      </c>
      <c r="B227" s="71">
        <v>224</v>
      </c>
      <c r="C227" s="78">
        <v>45541</v>
      </c>
      <c r="D227" s="20" t="s">
        <v>87</v>
      </c>
      <c r="E227" s="77">
        <v>3</v>
      </c>
      <c r="F227" s="35" t="s">
        <v>569</v>
      </c>
      <c r="G227" s="77">
        <v>59</v>
      </c>
      <c r="H227" s="20" t="s">
        <v>77</v>
      </c>
      <c r="I227" s="7" t="s">
        <v>1100</v>
      </c>
      <c r="J227" s="35" t="s">
        <v>856</v>
      </c>
      <c r="K227" s="51" t="s">
        <v>16</v>
      </c>
      <c r="L227" s="50" t="s">
        <v>17</v>
      </c>
      <c r="M227" s="86"/>
      <c r="N227" s="64" t="str">
        <f t="shared" si="3"/>
        <v>522 301-2561-165 : ETHICS AND INFORMATION SECURITY</v>
      </c>
    </row>
    <row r="228" ht="40.8" spans="1:14">
      <c r="A228" s="71">
        <v>174</v>
      </c>
      <c r="B228" s="71">
        <v>225</v>
      </c>
      <c r="C228" s="74">
        <v>45542</v>
      </c>
      <c r="D228" s="18" t="s">
        <v>11</v>
      </c>
      <c r="E228" s="75">
        <v>2</v>
      </c>
      <c r="F228" s="32" t="s">
        <v>570</v>
      </c>
      <c r="G228" s="75">
        <v>413</v>
      </c>
      <c r="H228" s="18" t="s">
        <v>44</v>
      </c>
      <c r="I228" s="6" t="s">
        <v>1101</v>
      </c>
      <c r="J228" s="32" t="s">
        <v>922</v>
      </c>
      <c r="K228" s="49" t="s">
        <v>16</v>
      </c>
      <c r="L228" s="48" t="s">
        <v>36</v>
      </c>
      <c r="M228" s="86"/>
      <c r="N228" s="64" t="str">
        <f t="shared" si="3"/>
        <v>513 103-2560-165 : GENERAL CHEMISTRY LABORATORY I</v>
      </c>
    </row>
    <row r="229" ht="40.8" spans="1:14">
      <c r="A229" s="71">
        <v>175</v>
      </c>
      <c r="B229" s="71">
        <v>226</v>
      </c>
      <c r="C229" s="74">
        <v>45542</v>
      </c>
      <c r="D229" s="18" t="s">
        <v>11</v>
      </c>
      <c r="E229" s="75">
        <v>2</v>
      </c>
      <c r="F229" s="32" t="s">
        <v>575</v>
      </c>
      <c r="G229" s="75">
        <v>280</v>
      </c>
      <c r="H229" s="18" t="s">
        <v>39</v>
      </c>
      <c r="I229" s="6" t="s">
        <v>1102</v>
      </c>
      <c r="J229" s="32" t="s">
        <v>922</v>
      </c>
      <c r="K229" s="49" t="s">
        <v>16</v>
      </c>
      <c r="L229" s="48" t="s">
        <v>36</v>
      </c>
      <c r="M229" s="86"/>
      <c r="N229" s="64" t="str">
        <f t="shared" si="3"/>
        <v>513 103-165 : GENERAL CHEMISTRY LABORATORY I</v>
      </c>
    </row>
    <row r="230" ht="40.8" spans="1:14">
      <c r="A230" s="71">
        <v>175</v>
      </c>
      <c r="B230" s="71">
        <v>227</v>
      </c>
      <c r="C230" s="74">
        <v>45542</v>
      </c>
      <c r="D230" s="18" t="s">
        <v>11</v>
      </c>
      <c r="E230" s="75">
        <v>2</v>
      </c>
      <c r="F230" s="32" t="s">
        <v>575</v>
      </c>
      <c r="G230" s="75">
        <v>155</v>
      </c>
      <c r="H230" s="18" t="s">
        <v>33</v>
      </c>
      <c r="I230" s="6" t="s">
        <v>1103</v>
      </c>
      <c r="J230" s="32" t="s">
        <v>922</v>
      </c>
      <c r="K230" s="49" t="s">
        <v>16</v>
      </c>
      <c r="L230" s="48" t="s">
        <v>36</v>
      </c>
      <c r="M230" s="86"/>
      <c r="N230" s="64" t="str">
        <f t="shared" si="3"/>
        <v>513 103-165 : GENERAL CHEMISTRY LABORATORY I</v>
      </c>
    </row>
    <row r="231" ht="20.4" spans="1:14">
      <c r="A231" s="71">
        <v>176</v>
      </c>
      <c r="B231" s="71">
        <v>228</v>
      </c>
      <c r="C231" s="74">
        <v>45542</v>
      </c>
      <c r="D231" s="18" t="s">
        <v>11</v>
      </c>
      <c r="E231" s="75">
        <v>2</v>
      </c>
      <c r="F231" s="32" t="s">
        <v>579</v>
      </c>
      <c r="G231" s="75">
        <v>70</v>
      </c>
      <c r="H231" s="18" t="s">
        <v>13</v>
      </c>
      <c r="I231" s="6" t="s">
        <v>1104</v>
      </c>
      <c r="J231" s="32" t="s">
        <v>828</v>
      </c>
      <c r="K231" s="49" t="s">
        <v>16</v>
      </c>
      <c r="L231" s="48" t="s">
        <v>17</v>
      </c>
      <c r="M231" s="86"/>
      <c r="N231" s="64" t="str">
        <f t="shared" si="3"/>
        <v>513 107-2560-165 : BASIC CHEMISTRY LABORATORY</v>
      </c>
    </row>
    <row r="232" ht="20.4" spans="1:14">
      <c r="A232" s="71">
        <v>176</v>
      </c>
      <c r="B232" s="71">
        <v>229</v>
      </c>
      <c r="C232" s="74">
        <v>45542</v>
      </c>
      <c r="D232" s="18" t="s">
        <v>11</v>
      </c>
      <c r="E232" s="75">
        <v>2</v>
      </c>
      <c r="F232" s="32" t="s">
        <v>581</v>
      </c>
      <c r="G232" s="75">
        <v>22</v>
      </c>
      <c r="H232" s="18" t="s">
        <v>49</v>
      </c>
      <c r="I232" s="6" t="s">
        <v>1105</v>
      </c>
      <c r="J232" s="32" t="s">
        <v>828</v>
      </c>
      <c r="K232" s="49" t="s">
        <v>16</v>
      </c>
      <c r="L232" s="48" t="s">
        <v>17</v>
      </c>
      <c r="M232" s="86"/>
      <c r="N232" s="64" t="str">
        <f t="shared" si="3"/>
        <v>513 107-165 : BASIC CHEMISTRY LABORATORY</v>
      </c>
    </row>
    <row r="233" ht="40.8" spans="1:14">
      <c r="A233" s="71">
        <v>177</v>
      </c>
      <c r="B233" s="71">
        <v>230</v>
      </c>
      <c r="C233" s="74">
        <v>45542</v>
      </c>
      <c r="D233" s="18" t="s">
        <v>11</v>
      </c>
      <c r="E233" s="75">
        <v>2</v>
      </c>
      <c r="F233" s="32" t="s">
        <v>583</v>
      </c>
      <c r="G233" s="75">
        <v>265</v>
      </c>
      <c r="H233" s="18" t="s">
        <v>58</v>
      </c>
      <c r="I233" s="6" t="s">
        <v>1106</v>
      </c>
      <c r="J233" s="32" t="s">
        <v>839</v>
      </c>
      <c r="K233" s="49" t="s">
        <v>16</v>
      </c>
      <c r="L233" s="48" t="s">
        <v>36</v>
      </c>
      <c r="M233" s="86"/>
      <c r="N233" s="64" t="str">
        <f t="shared" si="3"/>
        <v>513 341-2560-165 : BIOCHEMISTRY I</v>
      </c>
    </row>
    <row r="234" ht="40.8" spans="1:14">
      <c r="A234" s="71">
        <v>177</v>
      </c>
      <c r="B234" s="71">
        <v>231</v>
      </c>
      <c r="C234" s="74">
        <v>45542</v>
      </c>
      <c r="D234" s="18" t="s">
        <v>11</v>
      </c>
      <c r="E234" s="75">
        <v>2</v>
      </c>
      <c r="F234" s="32" t="s">
        <v>585</v>
      </c>
      <c r="G234" s="75">
        <v>177</v>
      </c>
      <c r="H234" s="18" t="s">
        <v>73</v>
      </c>
      <c r="I234" s="6" t="s">
        <v>1107</v>
      </c>
      <c r="J234" s="32" t="s">
        <v>839</v>
      </c>
      <c r="K234" s="49" t="s">
        <v>16</v>
      </c>
      <c r="L234" s="48" t="s">
        <v>36</v>
      </c>
      <c r="M234" s="86"/>
      <c r="N234" s="64" t="str">
        <f t="shared" si="3"/>
        <v>513 341-165 : BIOCHEMISTRY</v>
      </c>
    </row>
    <row r="235" ht="40.8" spans="1:14">
      <c r="A235" s="71">
        <v>178</v>
      </c>
      <c r="B235" s="71">
        <v>232</v>
      </c>
      <c r="C235" s="74">
        <v>45542</v>
      </c>
      <c r="D235" s="18" t="s">
        <v>31</v>
      </c>
      <c r="E235" s="75">
        <v>3</v>
      </c>
      <c r="F235" s="32" t="s">
        <v>587</v>
      </c>
      <c r="G235" s="75">
        <v>58</v>
      </c>
      <c r="H235" s="18" t="s">
        <v>53</v>
      </c>
      <c r="I235" s="6" t="s">
        <v>1108</v>
      </c>
      <c r="J235" s="6" t="s">
        <v>884</v>
      </c>
      <c r="K235" s="49" t="s">
        <v>16</v>
      </c>
      <c r="L235" s="48" t="s">
        <v>17</v>
      </c>
      <c r="M235" s="86"/>
      <c r="N235" s="64" t="str">
        <f t="shared" si="3"/>
        <v>511 122-167 : GAMES AND MATHEMATICAL SKILLS DEVELOPMENT</v>
      </c>
    </row>
    <row r="236" ht="20.4" spans="1:14">
      <c r="A236" s="71">
        <v>179</v>
      </c>
      <c r="B236" s="71">
        <v>233</v>
      </c>
      <c r="C236" s="74">
        <v>45542</v>
      </c>
      <c r="D236" s="18" t="s">
        <v>31</v>
      </c>
      <c r="E236" s="75">
        <v>3</v>
      </c>
      <c r="F236" s="32" t="s">
        <v>589</v>
      </c>
      <c r="G236" s="75">
        <v>92</v>
      </c>
      <c r="H236" s="18" t="s">
        <v>77</v>
      </c>
      <c r="I236" s="6" t="s">
        <v>1109</v>
      </c>
      <c r="J236" s="32" t="s">
        <v>923</v>
      </c>
      <c r="K236" s="49" t="s">
        <v>16</v>
      </c>
      <c r="L236" s="48" t="s">
        <v>17</v>
      </c>
      <c r="M236" s="86"/>
      <c r="N236" s="64" t="str">
        <f t="shared" si="3"/>
        <v>514 231-165 : PHYSICS DATA FOR SCIENTISTS</v>
      </c>
    </row>
    <row r="237" ht="20.4" spans="1:14">
      <c r="A237" s="71">
        <v>180</v>
      </c>
      <c r="B237" s="71">
        <v>234</v>
      </c>
      <c r="C237" s="74">
        <v>45542</v>
      </c>
      <c r="D237" s="18" t="s">
        <v>31</v>
      </c>
      <c r="E237" s="75">
        <v>3</v>
      </c>
      <c r="F237" s="32" t="s">
        <v>593</v>
      </c>
      <c r="G237" s="75">
        <v>49</v>
      </c>
      <c r="H237" s="18" t="s">
        <v>63</v>
      </c>
      <c r="I237" s="6" t="s">
        <v>1110</v>
      </c>
      <c r="J237" s="6" t="s">
        <v>919</v>
      </c>
      <c r="K237" s="49" t="s">
        <v>16</v>
      </c>
      <c r="L237" s="48" t="s">
        <v>17</v>
      </c>
      <c r="M237" s="86"/>
      <c r="N237" s="64" t="str">
        <f t="shared" si="3"/>
        <v>515 103-162 : PROBABILITY AND STATISTICS</v>
      </c>
    </row>
    <row r="238" ht="20.4" spans="1:14">
      <c r="A238" s="71">
        <v>181</v>
      </c>
      <c r="B238" s="71">
        <v>235</v>
      </c>
      <c r="C238" s="74">
        <v>45542</v>
      </c>
      <c r="D238" s="18" t="s">
        <v>31</v>
      </c>
      <c r="E238" s="75">
        <v>3</v>
      </c>
      <c r="F238" s="32" t="s">
        <v>792</v>
      </c>
      <c r="G238" s="75">
        <v>12</v>
      </c>
      <c r="H238" s="18" t="s">
        <v>63</v>
      </c>
      <c r="I238" s="6" t="s">
        <v>1110</v>
      </c>
      <c r="J238" s="32" t="s">
        <v>924</v>
      </c>
      <c r="K238" s="49" t="s">
        <v>16</v>
      </c>
      <c r="L238" s="48" t="s">
        <v>17</v>
      </c>
      <c r="M238" s="86"/>
      <c r="N238" s="64" t="str">
        <f t="shared" si="3"/>
        <v>521 301-162 : ELECTRICITY and MAGNETISM (ฟ้า)</v>
      </c>
    </row>
    <row r="239" ht="20.4" spans="1:14">
      <c r="A239" s="71">
        <v>182</v>
      </c>
      <c r="B239" s="71">
        <v>236</v>
      </c>
      <c r="C239" s="74">
        <v>45542</v>
      </c>
      <c r="D239" s="21" t="s">
        <v>31</v>
      </c>
      <c r="E239" s="80">
        <v>3</v>
      </c>
      <c r="F239" s="39" t="s">
        <v>598</v>
      </c>
      <c r="G239" s="80">
        <v>80</v>
      </c>
      <c r="H239" s="21" t="s">
        <v>68</v>
      </c>
      <c r="I239" s="8" t="s">
        <v>954</v>
      </c>
      <c r="J239" s="8" t="s">
        <v>836</v>
      </c>
      <c r="K239" s="53" t="s">
        <v>16</v>
      </c>
      <c r="L239" s="55" t="s">
        <v>17</v>
      </c>
      <c r="M239" s="86"/>
      <c r="N239" s="64" t="str">
        <f t="shared" si="3"/>
        <v>517 211-2560-165 : DATA STRUCTURES</v>
      </c>
    </row>
    <row r="240" ht="20.4" spans="1:14">
      <c r="A240" s="71">
        <v>183</v>
      </c>
      <c r="B240" s="71">
        <v>237</v>
      </c>
      <c r="C240" s="74">
        <v>45542</v>
      </c>
      <c r="D240" s="18" t="s">
        <v>31</v>
      </c>
      <c r="E240" s="75">
        <v>3</v>
      </c>
      <c r="F240" s="32" t="s">
        <v>599</v>
      </c>
      <c r="G240" s="75">
        <v>70</v>
      </c>
      <c r="H240" s="18" t="s">
        <v>600</v>
      </c>
      <c r="I240" s="6" t="s">
        <v>1111</v>
      </c>
      <c r="J240" s="6" t="s">
        <v>925</v>
      </c>
      <c r="K240" s="49" t="s">
        <v>16</v>
      </c>
      <c r="L240" s="48" t="s">
        <v>17</v>
      </c>
      <c r="M240" s="86"/>
      <c r="N240" s="64" t="str">
        <f t="shared" si="3"/>
        <v>520 213-2560-165 : FUNDAMENTALS OF DATA STRUCTURES AND APPLICATIONS</v>
      </c>
    </row>
    <row r="241" ht="20.4" spans="1:14">
      <c r="A241" s="71">
        <v>183</v>
      </c>
      <c r="B241" s="71">
        <v>238</v>
      </c>
      <c r="C241" s="74">
        <v>45542</v>
      </c>
      <c r="D241" s="20" t="s">
        <v>31</v>
      </c>
      <c r="E241" s="77">
        <v>3</v>
      </c>
      <c r="F241" s="35" t="s">
        <v>603</v>
      </c>
      <c r="G241" s="77">
        <v>41</v>
      </c>
      <c r="H241" s="20" t="s">
        <v>604</v>
      </c>
      <c r="I241" s="7" t="s">
        <v>1112</v>
      </c>
      <c r="J241" s="7" t="s">
        <v>925</v>
      </c>
      <c r="K241" s="51" t="s">
        <v>16</v>
      </c>
      <c r="L241" s="50" t="s">
        <v>17</v>
      </c>
      <c r="M241" s="86"/>
      <c r="N241" s="64" t="str">
        <f t="shared" si="3"/>
        <v>520 213-165 : FUNDAMENTAL OF DATA STRUCTURES AND APPLICATIONS</v>
      </c>
    </row>
    <row r="242" ht="40.8" spans="1:14">
      <c r="A242" s="71">
        <v>184</v>
      </c>
      <c r="B242" s="71">
        <v>239</v>
      </c>
      <c r="C242" s="74">
        <v>45542</v>
      </c>
      <c r="D242" s="21" t="s">
        <v>80</v>
      </c>
      <c r="E242" s="80">
        <v>2</v>
      </c>
      <c r="F242" s="39" t="s">
        <v>606</v>
      </c>
      <c r="G242" s="80">
        <v>163</v>
      </c>
      <c r="H242" s="21" t="s">
        <v>33</v>
      </c>
      <c r="I242" s="8" t="s">
        <v>1113</v>
      </c>
      <c r="J242" s="39" t="s">
        <v>922</v>
      </c>
      <c r="K242" s="53" t="s">
        <v>16</v>
      </c>
      <c r="L242" s="55" t="s">
        <v>36</v>
      </c>
      <c r="M242" s="86"/>
      <c r="N242" s="64" t="str">
        <f t="shared" si="3"/>
        <v>513 105-2560-165 : GENERAL CHEMISTRY LABORATORY</v>
      </c>
    </row>
    <row r="243" ht="40.8" spans="1:14">
      <c r="A243" s="71">
        <v>185</v>
      </c>
      <c r="B243" s="71">
        <v>240</v>
      </c>
      <c r="C243" s="74">
        <v>45542</v>
      </c>
      <c r="D243" s="18" t="s">
        <v>80</v>
      </c>
      <c r="E243" s="75">
        <v>2</v>
      </c>
      <c r="F243" s="32" t="s">
        <v>609</v>
      </c>
      <c r="G243" s="75">
        <v>359</v>
      </c>
      <c r="H243" s="18" t="s">
        <v>44</v>
      </c>
      <c r="I243" s="6" t="s">
        <v>1114</v>
      </c>
      <c r="J243" s="32" t="s">
        <v>842</v>
      </c>
      <c r="K243" s="49" t="s">
        <v>16</v>
      </c>
      <c r="L243" s="48" t="s">
        <v>36</v>
      </c>
      <c r="M243" s="86"/>
      <c r="N243" s="64" t="str">
        <f t="shared" si="3"/>
        <v>513 255-2560-165 : ORGANIC CHEMISTRY LABORATORY</v>
      </c>
    </row>
    <row r="244" ht="20.4" spans="1:14">
      <c r="A244" s="71">
        <v>186</v>
      </c>
      <c r="B244" s="71">
        <v>241</v>
      </c>
      <c r="C244" s="74">
        <v>45542</v>
      </c>
      <c r="D244" s="18" t="s">
        <v>87</v>
      </c>
      <c r="E244" s="75">
        <v>3</v>
      </c>
      <c r="F244" s="32" t="s">
        <v>612</v>
      </c>
      <c r="G244" s="75">
        <v>49</v>
      </c>
      <c r="H244" s="18" t="s">
        <v>13</v>
      </c>
      <c r="I244" s="6" t="s">
        <v>1115</v>
      </c>
      <c r="J244" s="6" t="s">
        <v>897</v>
      </c>
      <c r="K244" s="49" t="s">
        <v>16</v>
      </c>
      <c r="L244" s="48" t="s">
        <v>17</v>
      </c>
      <c r="M244" s="86"/>
      <c r="N244" s="64" t="str">
        <f t="shared" si="3"/>
        <v>511 203-2560-165 : VECTOR CALCULUS</v>
      </c>
    </row>
    <row r="245" ht="20.4" spans="1:14">
      <c r="A245" s="71">
        <v>187</v>
      </c>
      <c r="B245" s="71">
        <v>242</v>
      </c>
      <c r="C245" s="74">
        <v>45542</v>
      </c>
      <c r="D245" s="18" t="s">
        <v>87</v>
      </c>
      <c r="E245" s="75">
        <v>3</v>
      </c>
      <c r="F245" s="32" t="s">
        <v>795</v>
      </c>
      <c r="G245" s="75">
        <v>13</v>
      </c>
      <c r="H245" s="18" t="s">
        <v>13</v>
      </c>
      <c r="I245" s="6" t="s">
        <v>1115</v>
      </c>
      <c r="J245" s="32" t="s">
        <v>926</v>
      </c>
      <c r="K245" s="49" t="s">
        <v>16</v>
      </c>
      <c r="L245" s="48" t="s">
        <v>17</v>
      </c>
      <c r="M245" s="86"/>
      <c r="N245" s="64" t="str">
        <f t="shared" si="3"/>
        <v>512 314-165 : PLANT PHYSIOLOGY LABORATORY (ฟ้า)</v>
      </c>
    </row>
    <row r="246" ht="20.4" spans="1:14">
      <c r="A246" s="71">
        <v>188</v>
      </c>
      <c r="B246" s="71">
        <v>243</v>
      </c>
      <c r="C246" s="74">
        <v>45542</v>
      </c>
      <c r="D246" s="18" t="s">
        <v>87</v>
      </c>
      <c r="E246" s="75">
        <v>3</v>
      </c>
      <c r="F246" s="32" t="s">
        <v>617</v>
      </c>
      <c r="G246" s="75">
        <v>45</v>
      </c>
      <c r="H246" s="18" t="s">
        <v>49</v>
      </c>
      <c r="I246" s="6" t="s">
        <v>1116</v>
      </c>
      <c r="J246" s="6" t="s">
        <v>861</v>
      </c>
      <c r="K246" s="49" t="s">
        <v>16</v>
      </c>
      <c r="L246" s="48" t="s">
        <v>17</v>
      </c>
      <c r="M246" s="86"/>
      <c r="N246" s="64" t="str">
        <f t="shared" si="3"/>
        <v>511 245-162 : MATRICES AND VECTOR SPACES</v>
      </c>
    </row>
    <row r="247" ht="40.8" spans="1:14">
      <c r="A247" s="71">
        <v>189</v>
      </c>
      <c r="B247" s="71">
        <v>244</v>
      </c>
      <c r="C247" s="74">
        <v>45542</v>
      </c>
      <c r="D247" s="18" t="s">
        <v>87</v>
      </c>
      <c r="E247" s="75">
        <v>3</v>
      </c>
      <c r="F247" s="32" t="s">
        <v>796</v>
      </c>
      <c r="G247" s="75">
        <v>7</v>
      </c>
      <c r="H247" s="18" t="s">
        <v>53</v>
      </c>
      <c r="I247" s="6" t="s">
        <v>1117</v>
      </c>
      <c r="J247" s="6" t="s">
        <v>854</v>
      </c>
      <c r="K247" s="49" t="s">
        <v>16</v>
      </c>
      <c r="L247" s="48" t="s">
        <v>17</v>
      </c>
      <c r="M247" s="86"/>
      <c r="N247" s="64" t="str">
        <f t="shared" si="3"/>
        <v>519 331-165 : INTRODUCTION TO STOCHASTIC MODELS (ฟ้า)</v>
      </c>
    </row>
    <row r="248" ht="40.8" spans="1:14">
      <c r="A248" s="71">
        <v>190</v>
      </c>
      <c r="B248" s="71">
        <v>245</v>
      </c>
      <c r="C248" s="74">
        <v>45542</v>
      </c>
      <c r="D248" s="18" t="s">
        <v>87</v>
      </c>
      <c r="E248" s="75">
        <v>3</v>
      </c>
      <c r="F248" s="32" t="s">
        <v>621</v>
      </c>
      <c r="G248" s="75">
        <v>22</v>
      </c>
      <c r="H248" s="18" t="s">
        <v>53</v>
      </c>
      <c r="I248" s="6" t="s">
        <v>1117</v>
      </c>
      <c r="J248" s="6" t="s">
        <v>854</v>
      </c>
      <c r="K248" s="49" t="s">
        <v>16</v>
      </c>
      <c r="L248" s="48" t="s">
        <v>17</v>
      </c>
      <c r="M248" s="86"/>
      <c r="N248" s="64" t="str">
        <f t="shared" si="3"/>
        <v>519 461-2560 : INTRODUCTION TO STOCHASTIC PROCESS</v>
      </c>
    </row>
    <row r="249" ht="20.4" spans="1:14">
      <c r="A249" s="71">
        <v>191</v>
      </c>
      <c r="B249" s="71">
        <v>246</v>
      </c>
      <c r="C249" s="74">
        <v>45542</v>
      </c>
      <c r="D249" s="18" t="s">
        <v>87</v>
      </c>
      <c r="E249" s="75">
        <v>3</v>
      </c>
      <c r="F249" s="32" t="s">
        <v>599</v>
      </c>
      <c r="G249" s="75">
        <v>70</v>
      </c>
      <c r="H249" s="18" t="s">
        <v>600</v>
      </c>
      <c r="I249" s="6" t="s">
        <v>1118</v>
      </c>
      <c r="J249" s="6" t="s">
        <v>925</v>
      </c>
      <c r="K249" s="49" t="s">
        <v>115</v>
      </c>
      <c r="L249" s="48" t="s">
        <v>17</v>
      </c>
      <c r="M249" s="86"/>
      <c r="N249" s="64" t="str">
        <f t="shared" si="3"/>
        <v>520 213-2560-165 : FUNDAMENTALS OF DATA STRUCTURES AND APPLICATIONS</v>
      </c>
    </row>
    <row r="250" ht="20.4" spans="1:14">
      <c r="A250" s="71">
        <v>191</v>
      </c>
      <c r="B250" s="71">
        <v>247</v>
      </c>
      <c r="C250" s="74">
        <v>45542</v>
      </c>
      <c r="D250" s="18" t="s">
        <v>87</v>
      </c>
      <c r="E250" s="75">
        <v>3</v>
      </c>
      <c r="F250" s="32" t="s">
        <v>603</v>
      </c>
      <c r="G250" s="75">
        <v>41</v>
      </c>
      <c r="H250" s="18" t="s">
        <v>604</v>
      </c>
      <c r="I250" s="6" t="s">
        <v>1119</v>
      </c>
      <c r="J250" s="6" t="s">
        <v>925</v>
      </c>
      <c r="K250" s="49" t="s">
        <v>115</v>
      </c>
      <c r="L250" s="48" t="s">
        <v>17</v>
      </c>
      <c r="M250" s="86"/>
      <c r="N250" s="64" t="str">
        <f t="shared" si="3"/>
        <v>520 213-165 : FUNDAMENTAL OF DATA STRUCTURES AND APPLICATIONS</v>
      </c>
    </row>
    <row r="251" ht="40.8" spans="1:14">
      <c r="A251" s="71">
        <v>192</v>
      </c>
      <c r="B251" s="71">
        <v>248</v>
      </c>
      <c r="C251" s="74">
        <v>45542</v>
      </c>
      <c r="D251" s="18" t="s">
        <v>87</v>
      </c>
      <c r="E251" s="75">
        <v>3</v>
      </c>
      <c r="F251" s="32" t="s">
        <v>624</v>
      </c>
      <c r="G251" s="75">
        <v>29</v>
      </c>
      <c r="H251" s="18" t="s">
        <v>77</v>
      </c>
      <c r="I251" s="6" t="s">
        <v>1120</v>
      </c>
      <c r="J251" s="6" t="s">
        <v>871</v>
      </c>
      <c r="K251" s="49" t="s">
        <v>16</v>
      </c>
      <c r="L251" s="48" t="s">
        <v>17</v>
      </c>
      <c r="M251" s="86"/>
      <c r="N251" s="64" t="str">
        <f t="shared" si="3"/>
        <v>520 333-2560 : DATA MINING</v>
      </c>
    </row>
    <row r="252" ht="40.8" spans="1:14">
      <c r="A252" s="71">
        <v>192</v>
      </c>
      <c r="B252" s="71">
        <v>249</v>
      </c>
      <c r="C252" s="74">
        <v>45542</v>
      </c>
      <c r="D252" s="18" t="s">
        <v>87</v>
      </c>
      <c r="E252" s="75">
        <v>3</v>
      </c>
      <c r="F252" s="32" t="s">
        <v>626</v>
      </c>
      <c r="G252" s="75">
        <v>6</v>
      </c>
      <c r="H252" s="18" t="s">
        <v>77</v>
      </c>
      <c r="I252" s="6" t="s">
        <v>1120</v>
      </c>
      <c r="J252" s="6" t="s">
        <v>871</v>
      </c>
      <c r="K252" s="49" t="s">
        <v>16</v>
      </c>
      <c r="L252" s="48" t="s">
        <v>17</v>
      </c>
      <c r="M252" s="86"/>
      <c r="N252" s="64" t="str">
        <f t="shared" si="3"/>
        <v>522 355-2561 : ADVANCED DATA MINING AND DATA WAREHOUSING</v>
      </c>
    </row>
    <row r="253" ht="40.8" spans="1:14">
      <c r="A253" s="71">
        <v>192</v>
      </c>
      <c r="B253" s="71">
        <v>250</v>
      </c>
      <c r="C253" s="74">
        <v>45542</v>
      </c>
      <c r="D253" s="18" t="s">
        <v>87</v>
      </c>
      <c r="E253" s="75">
        <v>3</v>
      </c>
      <c r="F253" s="32" t="s">
        <v>627</v>
      </c>
      <c r="G253" s="75">
        <v>50</v>
      </c>
      <c r="H253" s="18" t="s">
        <v>77</v>
      </c>
      <c r="I253" s="6" t="s">
        <v>1120</v>
      </c>
      <c r="J253" s="6" t="s">
        <v>871</v>
      </c>
      <c r="K253" s="49" t="s">
        <v>16</v>
      </c>
      <c r="L253" s="48" t="s">
        <v>17</v>
      </c>
      <c r="M253" s="86"/>
      <c r="N253" s="64" t="str">
        <f t="shared" si="3"/>
        <v>522 356-165 : DATA ANALYTICS AND DATA MINING</v>
      </c>
    </row>
    <row r="254" ht="20.4" spans="1:14">
      <c r="A254" s="71">
        <v>193</v>
      </c>
      <c r="B254" s="71">
        <v>251</v>
      </c>
      <c r="C254" s="74">
        <v>45542</v>
      </c>
      <c r="D254" s="18" t="s">
        <v>87</v>
      </c>
      <c r="E254" s="75">
        <v>3</v>
      </c>
      <c r="F254" s="32" t="s">
        <v>628</v>
      </c>
      <c r="G254" s="75">
        <v>45</v>
      </c>
      <c r="H254" s="18" t="s">
        <v>63</v>
      </c>
      <c r="I254" s="6" t="s">
        <v>1121</v>
      </c>
      <c r="J254" s="6" t="s">
        <v>927</v>
      </c>
      <c r="K254" s="49" t="s">
        <v>16</v>
      </c>
      <c r="L254" s="48" t="s">
        <v>17</v>
      </c>
      <c r="M254" s="86"/>
      <c r="N254" s="64" t="str">
        <f t="shared" si="3"/>
        <v>524 245-166 : GEOGRAPHY AND INTRODUCTION TO GEOLOGY</v>
      </c>
    </row>
    <row r="255" ht="20.4" spans="1:14">
      <c r="A255" s="71">
        <v>194</v>
      </c>
      <c r="B255" s="71">
        <v>252</v>
      </c>
      <c r="C255" s="88">
        <v>45542</v>
      </c>
      <c r="D255" s="22" t="s">
        <v>87</v>
      </c>
      <c r="E255" s="81">
        <v>3</v>
      </c>
      <c r="F255" s="41" t="s">
        <v>928</v>
      </c>
      <c r="G255" s="81">
        <v>5</v>
      </c>
      <c r="H255" s="22" t="s">
        <v>63</v>
      </c>
      <c r="I255" s="9" t="s">
        <v>1121</v>
      </c>
      <c r="J255" s="9" t="s">
        <v>927</v>
      </c>
      <c r="K255" s="54" t="s">
        <v>16</v>
      </c>
      <c r="L255" s="62" t="s">
        <v>17</v>
      </c>
      <c r="M255" s="86"/>
      <c r="N255" s="64" t="str">
        <f t="shared" si="3"/>
        <v>514 342-2560 : SOLAR CELL TECHNOLOGY (ฟ้า)</v>
      </c>
    </row>
    <row r="256" ht="20.4" spans="1:14">
      <c r="A256" s="71">
        <v>195</v>
      </c>
      <c r="B256" s="71">
        <v>253</v>
      </c>
      <c r="C256" s="78">
        <v>45542</v>
      </c>
      <c r="D256" s="20" t="s">
        <v>312</v>
      </c>
      <c r="E256" s="77">
        <v>4</v>
      </c>
      <c r="F256" s="35" t="s">
        <v>598</v>
      </c>
      <c r="G256" s="77">
        <v>80</v>
      </c>
      <c r="H256" s="20" t="s">
        <v>68</v>
      </c>
      <c r="I256" s="7" t="s">
        <v>954</v>
      </c>
      <c r="J256" s="7" t="s">
        <v>836</v>
      </c>
      <c r="K256" s="51" t="s">
        <v>115</v>
      </c>
      <c r="L256" s="50" t="s">
        <v>17</v>
      </c>
      <c r="M256" s="86"/>
      <c r="N256" s="64" t="str">
        <f t="shared" si="3"/>
        <v>517 211-2560-165 : DATA STRUCTURES</v>
      </c>
    </row>
    <row r="257" ht="20.4" spans="1:14">
      <c r="A257" s="71">
        <v>196</v>
      </c>
      <c r="B257" s="71">
        <v>254</v>
      </c>
      <c r="C257" s="79">
        <v>45543</v>
      </c>
      <c r="D257" s="21" t="s">
        <v>11</v>
      </c>
      <c r="E257" s="80">
        <v>2</v>
      </c>
      <c r="F257" s="39" t="s">
        <v>632</v>
      </c>
      <c r="G257" s="80">
        <v>29</v>
      </c>
      <c r="H257" s="21" t="s">
        <v>13</v>
      </c>
      <c r="I257" s="8" t="s">
        <v>1122</v>
      </c>
      <c r="J257" s="39" t="s">
        <v>835</v>
      </c>
      <c r="K257" s="53" t="s">
        <v>16</v>
      </c>
      <c r="L257" s="55" t="s">
        <v>17</v>
      </c>
      <c r="M257" s="86"/>
      <c r="N257" s="64" t="str">
        <f t="shared" si="3"/>
        <v>512 334-2560-165 : ANIMAL PHYSIOLOGY LABORATORY</v>
      </c>
    </row>
    <row r="258" ht="20.4" spans="1:14">
      <c r="A258" s="71">
        <v>197</v>
      </c>
      <c r="B258" s="71">
        <v>255</v>
      </c>
      <c r="C258" s="74">
        <v>45543</v>
      </c>
      <c r="D258" s="18" t="s">
        <v>11</v>
      </c>
      <c r="E258" s="75">
        <v>2</v>
      </c>
      <c r="F258" s="32" t="s">
        <v>801</v>
      </c>
      <c r="G258" s="75">
        <v>12</v>
      </c>
      <c r="H258" s="18" t="s">
        <v>13</v>
      </c>
      <c r="I258" s="6" t="s">
        <v>1122</v>
      </c>
      <c r="J258" s="32" t="s">
        <v>828</v>
      </c>
      <c r="K258" s="49" t="s">
        <v>16</v>
      </c>
      <c r="L258" s="48" t="s">
        <v>17</v>
      </c>
      <c r="M258" s="86"/>
      <c r="N258" s="64" t="str">
        <f t="shared" si="3"/>
        <v>513 484-2560 : SELECTED TOPICS IN BIOCHEMISTRY (ฟ้า)</v>
      </c>
    </row>
    <row r="259" ht="20.4" spans="1:14">
      <c r="A259" s="71">
        <v>198</v>
      </c>
      <c r="B259" s="71">
        <v>256</v>
      </c>
      <c r="C259" s="74">
        <v>45543</v>
      </c>
      <c r="D259" s="18" t="s">
        <v>11</v>
      </c>
      <c r="E259" s="75">
        <v>2</v>
      </c>
      <c r="F259" s="32" t="s">
        <v>636</v>
      </c>
      <c r="G259" s="75">
        <v>12</v>
      </c>
      <c r="H259" s="18" t="s">
        <v>77</v>
      </c>
      <c r="I259" s="6" t="s">
        <v>1123</v>
      </c>
      <c r="J259" s="32" t="s">
        <v>880</v>
      </c>
      <c r="K259" s="49" t="s">
        <v>16</v>
      </c>
      <c r="L259" s="48" t="s">
        <v>17</v>
      </c>
      <c r="M259" s="86"/>
      <c r="N259" s="64" t="str">
        <f t="shared" si="3"/>
        <v>513 333-2560 : ANALYTICAL CHEMISTRY LABORATORY III</v>
      </c>
    </row>
    <row r="260" ht="20.4" spans="1:14">
      <c r="A260" s="71">
        <v>198</v>
      </c>
      <c r="B260" s="71">
        <v>257</v>
      </c>
      <c r="C260" s="74">
        <v>45543</v>
      </c>
      <c r="D260" s="18" t="s">
        <v>11</v>
      </c>
      <c r="E260" s="75">
        <v>2</v>
      </c>
      <c r="F260" s="32" t="s">
        <v>639</v>
      </c>
      <c r="G260" s="75">
        <v>76</v>
      </c>
      <c r="H260" s="18" t="s">
        <v>77</v>
      </c>
      <c r="I260" s="6" t="s">
        <v>1123</v>
      </c>
      <c r="J260" s="32" t="s">
        <v>880</v>
      </c>
      <c r="K260" s="49" t="s">
        <v>16</v>
      </c>
      <c r="L260" s="48" t="s">
        <v>17</v>
      </c>
      <c r="M260" s="86"/>
      <c r="N260" s="64" t="str">
        <f t="shared" si="3"/>
        <v>513 333-165 : ELECTROCHEMISTRY AND SEPARATION TECHNIQUES IN ANALYTICAL CHEMISTRY LABORATORY</v>
      </c>
    </row>
    <row r="261" ht="20.4" spans="1:14">
      <c r="A261" s="71">
        <v>199</v>
      </c>
      <c r="B261" s="71">
        <v>258</v>
      </c>
      <c r="C261" s="74">
        <v>45543</v>
      </c>
      <c r="D261" s="18" t="s">
        <v>11</v>
      </c>
      <c r="E261" s="75">
        <v>2</v>
      </c>
      <c r="F261" s="32" t="s">
        <v>803</v>
      </c>
      <c r="G261" s="75">
        <v>58</v>
      </c>
      <c r="H261" s="18" t="s">
        <v>49</v>
      </c>
      <c r="I261" s="6" t="s">
        <v>1124</v>
      </c>
      <c r="J261" s="6" t="s">
        <v>868</v>
      </c>
      <c r="K261" s="49" t="s">
        <v>16</v>
      </c>
      <c r="L261" s="48" t="s">
        <v>17</v>
      </c>
      <c r="M261" s="86"/>
      <c r="N261" s="64" t="str">
        <f t="shared" ref="N261:N288" si="4">TRIM(F261)</f>
        <v>515 102-167 : STATISTICS FOR MATHEMATICS TEACHERS I openbook</v>
      </c>
    </row>
    <row r="262" ht="40.8" spans="1:14">
      <c r="A262" s="71">
        <v>200</v>
      </c>
      <c r="B262" s="71">
        <v>259</v>
      </c>
      <c r="C262" s="74">
        <v>45543</v>
      </c>
      <c r="D262" s="18" t="s">
        <v>11</v>
      </c>
      <c r="E262" s="75">
        <v>2</v>
      </c>
      <c r="F262" s="32" t="s">
        <v>642</v>
      </c>
      <c r="G262" s="75">
        <v>113</v>
      </c>
      <c r="H262" s="18" t="s">
        <v>33</v>
      </c>
      <c r="I262" s="6" t="s">
        <v>1125</v>
      </c>
      <c r="J262" s="6" t="s">
        <v>906</v>
      </c>
      <c r="K262" s="49" t="s">
        <v>16</v>
      </c>
      <c r="L262" s="48" t="s">
        <v>36</v>
      </c>
      <c r="M262" s="86"/>
      <c r="N262" s="64" t="str">
        <f t="shared" si="4"/>
        <v>518 331-2560-165 : YEAST BIOLOGY AND TECHNOLOGY</v>
      </c>
    </row>
    <row r="263" ht="40.8" spans="1:14">
      <c r="A263" s="71">
        <v>201</v>
      </c>
      <c r="B263" s="71">
        <v>260</v>
      </c>
      <c r="C263" s="74">
        <v>45543</v>
      </c>
      <c r="D263" s="18" t="s">
        <v>644</v>
      </c>
      <c r="E263" s="75">
        <v>1</v>
      </c>
      <c r="F263" s="32" t="s">
        <v>645</v>
      </c>
      <c r="G263" s="75">
        <v>113</v>
      </c>
      <c r="H263" s="18" t="s">
        <v>33</v>
      </c>
      <c r="I263" s="6" t="s">
        <v>1125</v>
      </c>
      <c r="J263" s="6" t="s">
        <v>906</v>
      </c>
      <c r="K263" s="49" t="s">
        <v>16</v>
      </c>
      <c r="L263" s="48" t="s">
        <v>36</v>
      </c>
      <c r="M263" s="86"/>
      <c r="N263" s="64" t="str">
        <f t="shared" si="4"/>
        <v>518 332-2560-165 : YEAST BIOLOGY AND TECHNOLOGY LABORATORY</v>
      </c>
    </row>
    <row r="264" ht="40.8" spans="1:14">
      <c r="A264" s="71">
        <v>202</v>
      </c>
      <c r="B264" s="71">
        <v>261</v>
      </c>
      <c r="C264" s="74">
        <v>45543</v>
      </c>
      <c r="D264" s="18" t="s">
        <v>31</v>
      </c>
      <c r="E264" s="75">
        <v>3</v>
      </c>
      <c r="F264" s="32" t="s">
        <v>804</v>
      </c>
      <c r="G264" s="75">
        <v>173</v>
      </c>
      <c r="H264" s="18" t="s">
        <v>44</v>
      </c>
      <c r="I264" s="6" t="s">
        <v>1126</v>
      </c>
      <c r="J264" s="32" t="s">
        <v>929</v>
      </c>
      <c r="K264" s="49" t="s">
        <v>16</v>
      </c>
      <c r="L264" s="48" t="s">
        <v>204</v>
      </c>
      <c r="M264" s="86"/>
      <c r="N264" s="64" t="str">
        <f t="shared" si="4"/>
        <v>511 103-165 : CALCULUS FOR BIOLOGICAL SCIENTISTS อ.สิทธิเศรษฐ์</v>
      </c>
    </row>
    <row r="265" ht="40.8" spans="1:14">
      <c r="A265" s="71">
        <v>203</v>
      </c>
      <c r="B265" s="71">
        <v>262</v>
      </c>
      <c r="C265" s="74">
        <v>45543</v>
      </c>
      <c r="D265" s="18" t="s">
        <v>31</v>
      </c>
      <c r="E265" s="75">
        <v>3</v>
      </c>
      <c r="F265" s="32" t="s">
        <v>930</v>
      </c>
      <c r="G265" s="75">
        <v>143</v>
      </c>
      <c r="H265" s="18" t="s">
        <v>44</v>
      </c>
      <c r="I265" s="6" t="s">
        <v>1126</v>
      </c>
      <c r="J265" s="32" t="s">
        <v>931</v>
      </c>
      <c r="K265" s="49" t="s">
        <v>16</v>
      </c>
      <c r="L265" s="48" t="s">
        <v>200</v>
      </c>
      <c r="M265" s="86"/>
      <c r="N265" s="64" t="str">
        <f t="shared" si="4"/>
        <v>511 114-165 : GENERAL MATHEMATICS (ฟ้า)</v>
      </c>
    </row>
    <row r="266" ht="20.4" spans="1:14">
      <c r="A266" s="71">
        <v>204</v>
      </c>
      <c r="B266" s="71">
        <v>263</v>
      </c>
      <c r="C266" s="74">
        <v>45543</v>
      </c>
      <c r="D266" s="18" t="s">
        <v>31</v>
      </c>
      <c r="E266" s="75">
        <v>3</v>
      </c>
      <c r="F266" s="32" t="s">
        <v>1127</v>
      </c>
      <c r="G266" s="75">
        <v>57</v>
      </c>
      <c r="H266" s="18" t="s">
        <v>73</v>
      </c>
      <c r="I266" s="6" t="s">
        <v>1128</v>
      </c>
      <c r="J266" s="6" t="s">
        <v>932</v>
      </c>
      <c r="K266" s="49" t="s">
        <v>16</v>
      </c>
      <c r="L266" s="48" t="s">
        <v>36</v>
      </c>
      <c r="M266" s="86"/>
      <c r="N266" s="64" t="str">
        <f t="shared" si="4"/>
        <v>511 103-165 : CALCULUS FOR BIOLOGICAL SCIENTISTS อ.จิตติศักดิ์</v>
      </c>
    </row>
    <row r="267" ht="20.4" spans="1:14">
      <c r="A267" s="71">
        <v>204</v>
      </c>
      <c r="B267" s="71">
        <v>264</v>
      </c>
      <c r="C267" s="74">
        <v>45543</v>
      </c>
      <c r="D267" s="18" t="s">
        <v>31</v>
      </c>
      <c r="E267" s="75">
        <v>3</v>
      </c>
      <c r="F267" s="32" t="s">
        <v>1129</v>
      </c>
      <c r="G267" s="75">
        <v>53</v>
      </c>
      <c r="H267" s="18" t="s">
        <v>73</v>
      </c>
      <c r="I267" s="6" t="s">
        <v>1128</v>
      </c>
      <c r="J267" s="6" t="s">
        <v>932</v>
      </c>
      <c r="K267" s="49" t="s">
        <v>16</v>
      </c>
      <c r="L267" s="48" t="s">
        <v>36</v>
      </c>
      <c r="M267" s="86"/>
      <c r="N267" s="64" t="str">
        <f t="shared" si="4"/>
        <v>511 113-165 : CALCULUS FOR INFORMATION TECHNOLOGY อ.จิตติศักดิ์</v>
      </c>
    </row>
    <row r="268" ht="40.8" spans="1:14">
      <c r="A268" s="71">
        <v>205</v>
      </c>
      <c r="B268" s="71">
        <v>265</v>
      </c>
      <c r="C268" s="74">
        <v>45543</v>
      </c>
      <c r="D268" s="18" t="s">
        <v>31</v>
      </c>
      <c r="E268" s="75">
        <v>3</v>
      </c>
      <c r="F268" s="32" t="s">
        <v>656</v>
      </c>
      <c r="G268" s="75">
        <v>60</v>
      </c>
      <c r="H268" s="18" t="s">
        <v>53</v>
      </c>
      <c r="I268" s="6" t="s">
        <v>1130</v>
      </c>
      <c r="J268" s="6" t="s">
        <v>931</v>
      </c>
      <c r="K268" s="49" t="s">
        <v>16</v>
      </c>
      <c r="L268" s="48" t="s">
        <v>17</v>
      </c>
      <c r="M268" s="86"/>
      <c r="N268" s="64" t="str">
        <f t="shared" si="4"/>
        <v>511 108-2560-165 : CALCULUS FOR COMPUTATIONAL SCIENTISTS I</v>
      </c>
    </row>
    <row r="269" ht="20.4" spans="1:14">
      <c r="A269" s="71">
        <v>206</v>
      </c>
      <c r="B269" s="71">
        <v>266</v>
      </c>
      <c r="C269" s="74">
        <v>45543</v>
      </c>
      <c r="D269" s="18" t="s">
        <v>31</v>
      </c>
      <c r="E269" s="75">
        <v>3</v>
      </c>
      <c r="F269" s="32" t="s">
        <v>806</v>
      </c>
      <c r="G269" s="75">
        <v>3</v>
      </c>
      <c r="H269" s="18" t="s">
        <v>53</v>
      </c>
      <c r="I269" s="6" t="s">
        <v>1130</v>
      </c>
      <c r="J269" s="6" t="s">
        <v>905</v>
      </c>
      <c r="K269" s="49" t="s">
        <v>16</v>
      </c>
      <c r="L269" s="48" t="s">
        <v>17</v>
      </c>
      <c r="M269" s="86"/>
      <c r="N269" s="64" t="str">
        <f t="shared" si="4"/>
        <v>514 343-2560 : WIND ENERGY (ฟ้า)</v>
      </c>
    </row>
    <row r="270" ht="40.8" spans="1:14">
      <c r="A270" s="71">
        <v>207</v>
      </c>
      <c r="B270" s="71">
        <v>267</v>
      </c>
      <c r="C270" s="74">
        <v>45543</v>
      </c>
      <c r="D270" s="18" t="s">
        <v>31</v>
      </c>
      <c r="E270" s="75">
        <v>3</v>
      </c>
      <c r="F270" s="32" t="s">
        <v>659</v>
      </c>
      <c r="G270" s="75">
        <v>36</v>
      </c>
      <c r="H270" s="18" t="s">
        <v>39</v>
      </c>
      <c r="I270" s="6" t="s">
        <v>1131</v>
      </c>
      <c r="J270" s="32" t="s">
        <v>933</v>
      </c>
      <c r="K270" s="49" t="s">
        <v>16</v>
      </c>
      <c r="L270" s="48" t="s">
        <v>662</v>
      </c>
      <c r="M270" s="86"/>
      <c r="N270" s="64" t="str">
        <f t="shared" si="4"/>
        <v>516 410-2560 : CLEANER TECHNOLOGY AND ENVIRONMENTAL MANAGEMENT</v>
      </c>
    </row>
    <row r="271" ht="40.8" spans="1:14">
      <c r="A271" s="71">
        <v>208</v>
      </c>
      <c r="B271" s="71">
        <v>268</v>
      </c>
      <c r="C271" s="74">
        <v>45543</v>
      </c>
      <c r="D271" s="18" t="s">
        <v>31</v>
      </c>
      <c r="E271" s="75">
        <v>3</v>
      </c>
      <c r="F271" s="32" t="s">
        <v>664</v>
      </c>
      <c r="G271" s="75">
        <v>174</v>
      </c>
      <c r="H271" s="18" t="s">
        <v>39</v>
      </c>
      <c r="I271" s="6" t="s">
        <v>1131</v>
      </c>
      <c r="J271" s="32" t="s">
        <v>891</v>
      </c>
      <c r="K271" s="49" t="s">
        <v>16</v>
      </c>
      <c r="L271" s="48" t="s">
        <v>665</v>
      </c>
      <c r="M271" s="86"/>
      <c r="N271" s="64" t="str">
        <f t="shared" si="4"/>
        <v>518 101-165 : GENERAL MICROBIOLOGY</v>
      </c>
    </row>
    <row r="272" ht="20.4" spans="1:14">
      <c r="A272" s="71">
        <v>209</v>
      </c>
      <c r="B272" s="71">
        <v>269</v>
      </c>
      <c r="C272" s="74">
        <v>45543</v>
      </c>
      <c r="D272" s="18" t="s">
        <v>31</v>
      </c>
      <c r="E272" s="75">
        <v>3</v>
      </c>
      <c r="F272" s="32" t="s">
        <v>666</v>
      </c>
      <c r="G272" s="75">
        <v>13</v>
      </c>
      <c r="H272" s="18" t="s">
        <v>266</v>
      </c>
      <c r="I272" s="6" t="s">
        <v>1132</v>
      </c>
      <c r="J272" s="6" t="s">
        <v>877</v>
      </c>
      <c r="K272" s="49" t="s">
        <v>16</v>
      </c>
      <c r="L272" s="48" t="s">
        <v>17</v>
      </c>
      <c r="M272" s="86"/>
      <c r="N272" s="64" t="str">
        <f t="shared" si="4"/>
        <v>517 465-165 : FEATURE ENGINEERING</v>
      </c>
    </row>
    <row r="273" ht="20.4" spans="1:14">
      <c r="A273" s="71">
        <v>209</v>
      </c>
      <c r="B273" s="71">
        <v>270</v>
      </c>
      <c r="C273" s="74">
        <v>45543</v>
      </c>
      <c r="D273" s="18" t="s">
        <v>31</v>
      </c>
      <c r="E273" s="75">
        <v>3</v>
      </c>
      <c r="F273" s="32" t="s">
        <v>668</v>
      </c>
      <c r="G273" s="75">
        <v>14</v>
      </c>
      <c r="H273" s="18" t="s">
        <v>266</v>
      </c>
      <c r="I273" s="6" t="s">
        <v>1132</v>
      </c>
      <c r="J273" s="6" t="s">
        <v>877</v>
      </c>
      <c r="K273" s="49" t="s">
        <v>16</v>
      </c>
      <c r="L273" s="48" t="s">
        <v>17</v>
      </c>
      <c r="M273" s="86"/>
      <c r="N273" s="64" t="str">
        <f t="shared" si="4"/>
        <v>517 481-2560 : SELECTED TOPICS IN COMPUTER SCIENCE I</v>
      </c>
    </row>
    <row r="274" ht="20.4" spans="1:14">
      <c r="A274" s="71">
        <v>209</v>
      </c>
      <c r="B274" s="71">
        <v>271</v>
      </c>
      <c r="C274" s="74">
        <v>45543</v>
      </c>
      <c r="D274" s="18" t="s">
        <v>31</v>
      </c>
      <c r="E274" s="75">
        <v>3</v>
      </c>
      <c r="F274" s="32" t="s">
        <v>669</v>
      </c>
      <c r="G274" s="75">
        <v>2</v>
      </c>
      <c r="H274" s="18" t="s">
        <v>266</v>
      </c>
      <c r="I274" s="6" t="s">
        <v>1132</v>
      </c>
      <c r="J274" s="6" t="s">
        <v>877</v>
      </c>
      <c r="K274" s="49" t="s">
        <v>16</v>
      </c>
      <c r="L274" s="48" t="s">
        <v>17</v>
      </c>
      <c r="M274" s="86"/>
      <c r="N274" s="64" t="str">
        <f t="shared" si="4"/>
        <v>520 485-2560 : SELECTED TOPICS IN INFORMATION TECHNOLOGY V</v>
      </c>
    </row>
    <row r="275" ht="20.4" spans="1:14">
      <c r="A275" s="71">
        <v>209</v>
      </c>
      <c r="B275" s="71">
        <v>272</v>
      </c>
      <c r="C275" s="74">
        <v>45543</v>
      </c>
      <c r="D275" s="20" t="s">
        <v>31</v>
      </c>
      <c r="E275" s="77">
        <v>3</v>
      </c>
      <c r="F275" s="35" t="s">
        <v>670</v>
      </c>
      <c r="G275" s="77">
        <v>1</v>
      </c>
      <c r="H275" s="20" t="s">
        <v>266</v>
      </c>
      <c r="I275" s="7" t="s">
        <v>1132</v>
      </c>
      <c r="J275" s="7" t="s">
        <v>877</v>
      </c>
      <c r="K275" s="51" t="s">
        <v>16</v>
      </c>
      <c r="L275" s="50" t="s">
        <v>17</v>
      </c>
      <c r="M275" s="86"/>
      <c r="N275" s="64" t="str">
        <f t="shared" si="4"/>
        <v>522 352-2561 : FEATURE ENGINEERING</v>
      </c>
    </row>
    <row r="276" ht="40.8" spans="1:14">
      <c r="A276" s="71">
        <v>210</v>
      </c>
      <c r="B276" s="71">
        <v>273</v>
      </c>
      <c r="C276" s="74">
        <v>45543</v>
      </c>
      <c r="D276" s="21" t="s">
        <v>80</v>
      </c>
      <c r="E276" s="80">
        <v>2</v>
      </c>
      <c r="F276" s="39" t="s">
        <v>671</v>
      </c>
      <c r="G276" s="80">
        <v>378</v>
      </c>
      <c r="H276" s="21" t="s">
        <v>44</v>
      </c>
      <c r="I276" s="8" t="s">
        <v>1133</v>
      </c>
      <c r="J276" s="39" t="s">
        <v>934</v>
      </c>
      <c r="K276" s="53" t="s">
        <v>16</v>
      </c>
      <c r="L276" s="55" t="s">
        <v>36</v>
      </c>
      <c r="M276" s="86"/>
      <c r="N276" s="64" t="str">
        <f t="shared" si="4"/>
        <v>513 233-2560-165 : ANALYTICAL CHEMISTRY LABORATORY I</v>
      </c>
    </row>
    <row r="277" ht="20.4" spans="1:14">
      <c r="A277" s="71">
        <v>211</v>
      </c>
      <c r="B277" s="71">
        <v>274</v>
      </c>
      <c r="C277" s="74">
        <v>45543</v>
      </c>
      <c r="D277" s="18" t="s">
        <v>80</v>
      </c>
      <c r="E277" s="75">
        <v>2</v>
      </c>
      <c r="F277" s="32" t="s">
        <v>675</v>
      </c>
      <c r="G277" s="75">
        <v>50</v>
      </c>
      <c r="H277" s="18" t="s">
        <v>13</v>
      </c>
      <c r="I277" s="6" t="s">
        <v>1134</v>
      </c>
      <c r="J277" s="32" t="s">
        <v>880</v>
      </c>
      <c r="K277" s="49" t="s">
        <v>16</v>
      </c>
      <c r="L277" s="48" t="s">
        <v>17</v>
      </c>
      <c r="M277" s="86"/>
      <c r="N277" s="64" t="str">
        <f t="shared" si="4"/>
        <v>513 431-2560 : ADVANCED ANALYTICAL CHEMISTRY I</v>
      </c>
    </row>
    <row r="278" ht="20.4" spans="1:14">
      <c r="A278" s="71">
        <v>212</v>
      </c>
      <c r="B278" s="71">
        <v>275</v>
      </c>
      <c r="C278" s="74">
        <v>45543</v>
      </c>
      <c r="D278" s="18" t="s">
        <v>80</v>
      </c>
      <c r="E278" s="75">
        <v>2</v>
      </c>
      <c r="F278" s="32" t="s">
        <v>803</v>
      </c>
      <c r="G278" s="75">
        <v>58</v>
      </c>
      <c r="H278" s="18" t="s">
        <v>27</v>
      </c>
      <c r="I278" s="6" t="s">
        <v>1135</v>
      </c>
      <c r="J278" s="6" t="s">
        <v>868</v>
      </c>
      <c r="K278" s="49" t="s">
        <v>115</v>
      </c>
      <c r="L278" s="48" t="s">
        <v>17</v>
      </c>
      <c r="M278" s="86"/>
      <c r="N278" s="64" t="str">
        <f t="shared" si="4"/>
        <v>515 102-167 : STATISTICS FOR MATHEMATICS TEACHERS I openbook</v>
      </c>
    </row>
    <row r="279" ht="20.4" spans="1:14">
      <c r="A279" s="71">
        <v>213</v>
      </c>
      <c r="B279" s="71">
        <v>276</v>
      </c>
      <c r="C279" s="74">
        <v>45543</v>
      </c>
      <c r="D279" s="18" t="s">
        <v>87</v>
      </c>
      <c r="E279" s="75">
        <v>3</v>
      </c>
      <c r="F279" s="32" t="s">
        <v>809</v>
      </c>
      <c r="G279" s="75">
        <v>14</v>
      </c>
      <c r="H279" s="18" t="s">
        <v>49</v>
      </c>
      <c r="I279" s="6" t="s">
        <v>1136</v>
      </c>
      <c r="J279" s="32" t="s">
        <v>926</v>
      </c>
      <c r="K279" s="49" t="s">
        <v>16</v>
      </c>
      <c r="L279" s="48" t="s">
        <v>17</v>
      </c>
      <c r="M279" s="86"/>
      <c r="N279" s="64" t="str">
        <f t="shared" si="4"/>
        <v>512 313-2560-165 : PLANT PHYSIOLOGY (ฟ้า)</v>
      </c>
    </row>
    <row r="280" ht="20.4" spans="1:14">
      <c r="A280" s="71">
        <v>214</v>
      </c>
      <c r="B280" s="71">
        <v>277</v>
      </c>
      <c r="C280" s="74">
        <v>45543</v>
      </c>
      <c r="D280" s="18" t="s">
        <v>87</v>
      </c>
      <c r="E280" s="75">
        <v>3</v>
      </c>
      <c r="F280" s="32" t="s">
        <v>681</v>
      </c>
      <c r="G280" s="75">
        <v>22</v>
      </c>
      <c r="H280" s="18" t="s">
        <v>49</v>
      </c>
      <c r="I280" s="6" t="s">
        <v>1136</v>
      </c>
      <c r="J280" s="6" t="s">
        <v>882</v>
      </c>
      <c r="K280" s="49" t="s">
        <v>16</v>
      </c>
      <c r="L280" s="48" t="s">
        <v>17</v>
      </c>
      <c r="M280" s="86"/>
      <c r="N280" s="64" t="str">
        <f t="shared" si="4"/>
        <v>521 203-2562 : THERMODYNAMICS</v>
      </c>
    </row>
    <row r="281" ht="20.4" spans="1:14">
      <c r="A281" s="71">
        <v>215</v>
      </c>
      <c r="B281" s="71">
        <v>278</v>
      </c>
      <c r="C281" s="74">
        <v>45543</v>
      </c>
      <c r="D281" s="18" t="s">
        <v>87</v>
      </c>
      <c r="E281" s="75">
        <v>3</v>
      </c>
      <c r="F281" s="32" t="s">
        <v>810</v>
      </c>
      <c r="G281" s="75">
        <v>12</v>
      </c>
      <c r="H281" s="18" t="s">
        <v>49</v>
      </c>
      <c r="I281" s="6" t="s">
        <v>1136</v>
      </c>
      <c r="J281" s="32" t="s">
        <v>923</v>
      </c>
      <c r="K281" s="49" t="s">
        <v>16</v>
      </c>
      <c r="L281" s="48" t="s">
        <v>17</v>
      </c>
      <c r="M281" s="86"/>
      <c r="N281" s="64" t="str">
        <f t="shared" si="4"/>
        <v>521 303-162 : WAVES (ส้ม)</v>
      </c>
    </row>
    <row r="282" ht="20.4" spans="1:14">
      <c r="A282" s="71">
        <v>216</v>
      </c>
      <c r="B282" s="71">
        <v>279</v>
      </c>
      <c r="C282" s="74">
        <v>45543</v>
      </c>
      <c r="D282" s="18" t="s">
        <v>87</v>
      </c>
      <c r="E282" s="75">
        <v>3</v>
      </c>
      <c r="F282" s="32" t="s">
        <v>1137</v>
      </c>
      <c r="G282" s="75">
        <v>5</v>
      </c>
      <c r="H282" s="18" t="s">
        <v>685</v>
      </c>
      <c r="I282" s="6" t="s">
        <v>1138</v>
      </c>
      <c r="J282" s="6" t="s">
        <v>869</v>
      </c>
      <c r="K282" s="49" t="s">
        <v>16</v>
      </c>
      <c r="L282" s="48" t="s">
        <v>17</v>
      </c>
      <c r="M282" s="86"/>
      <c r="N282" s="64" t="str">
        <f t="shared" si="4"/>
        <v>515 421-2560 : APPLIED MULTIVARIATE ANALYSIS openbook</v>
      </c>
    </row>
    <row r="283" ht="40.8" spans="1:14">
      <c r="A283" s="71">
        <v>217</v>
      </c>
      <c r="B283" s="71">
        <v>280</v>
      </c>
      <c r="C283" s="74">
        <v>45543</v>
      </c>
      <c r="D283" s="18" t="s">
        <v>87</v>
      </c>
      <c r="E283" s="75">
        <v>3</v>
      </c>
      <c r="F283" s="32" t="s">
        <v>812</v>
      </c>
      <c r="G283" s="75">
        <v>2</v>
      </c>
      <c r="H283" s="18" t="s">
        <v>77</v>
      </c>
      <c r="I283" s="6" t="s">
        <v>1139</v>
      </c>
      <c r="J283" s="6" t="s">
        <v>935</v>
      </c>
      <c r="K283" s="49" t="s">
        <v>16</v>
      </c>
      <c r="L283" s="48" t="s">
        <v>17</v>
      </c>
      <c r="M283" s="86"/>
      <c r="N283" s="64" t="str">
        <f t="shared" si="4"/>
        <v>516 302-2560 : BASIC REMOTE SENSING (ฟ้า)</v>
      </c>
    </row>
    <row r="284" ht="40.8" spans="1:14">
      <c r="A284" s="71">
        <v>218</v>
      </c>
      <c r="B284" s="71">
        <v>281</v>
      </c>
      <c r="C284" s="74">
        <v>45543</v>
      </c>
      <c r="D284" s="18" t="s">
        <v>87</v>
      </c>
      <c r="E284" s="75">
        <v>3</v>
      </c>
      <c r="F284" s="32" t="s">
        <v>690</v>
      </c>
      <c r="G284" s="75">
        <v>94</v>
      </c>
      <c r="H284" s="18" t="s">
        <v>77</v>
      </c>
      <c r="I284" s="6" t="s">
        <v>1139</v>
      </c>
      <c r="J284" s="6" t="s">
        <v>936</v>
      </c>
      <c r="K284" s="49" t="s">
        <v>16</v>
      </c>
      <c r="L284" s="48" t="s">
        <v>17</v>
      </c>
      <c r="M284" s="86"/>
      <c r="N284" s="64" t="str">
        <f t="shared" si="4"/>
        <v>520 322-2560-165 : BUSINESS INFORMATION SYSTEMS</v>
      </c>
    </row>
    <row r="285" ht="20.4" spans="1:14">
      <c r="A285" s="71">
        <v>219</v>
      </c>
      <c r="B285" s="71">
        <v>282</v>
      </c>
      <c r="C285" s="74">
        <v>45543</v>
      </c>
      <c r="D285" s="18" t="s">
        <v>87</v>
      </c>
      <c r="E285" s="75">
        <v>3</v>
      </c>
      <c r="F285" s="32" t="s">
        <v>669</v>
      </c>
      <c r="G285" s="75">
        <v>2</v>
      </c>
      <c r="H285" s="18" t="s">
        <v>266</v>
      </c>
      <c r="I285" s="6" t="s">
        <v>1132</v>
      </c>
      <c r="J285" s="6" t="s">
        <v>877</v>
      </c>
      <c r="K285" s="49" t="s">
        <v>16</v>
      </c>
      <c r="L285" s="48" t="s">
        <v>17</v>
      </c>
      <c r="M285" s="86"/>
      <c r="N285" s="64" t="str">
        <f t="shared" si="4"/>
        <v>520 485-2560 : SELECTED TOPICS IN INFORMATION TECHNOLOGY V</v>
      </c>
    </row>
    <row r="286" ht="20.4" spans="1:14">
      <c r="A286" s="71">
        <v>219</v>
      </c>
      <c r="B286" s="71">
        <v>283</v>
      </c>
      <c r="C286" s="74">
        <v>45543</v>
      </c>
      <c r="D286" s="18" t="s">
        <v>87</v>
      </c>
      <c r="E286" s="75">
        <v>3</v>
      </c>
      <c r="F286" s="32" t="s">
        <v>666</v>
      </c>
      <c r="G286" s="75">
        <v>13</v>
      </c>
      <c r="H286" s="18" t="s">
        <v>266</v>
      </c>
      <c r="I286" s="6" t="s">
        <v>1132</v>
      </c>
      <c r="J286" s="6" t="s">
        <v>877</v>
      </c>
      <c r="K286" s="49" t="s">
        <v>16</v>
      </c>
      <c r="L286" s="48" t="s">
        <v>17</v>
      </c>
      <c r="M286" s="86"/>
      <c r="N286" s="64" t="str">
        <f t="shared" si="4"/>
        <v>517 465-165 : FEATURE ENGINEERING</v>
      </c>
    </row>
    <row r="287" ht="20.4" spans="1:14">
      <c r="A287" s="71">
        <v>219</v>
      </c>
      <c r="B287" s="71">
        <v>284</v>
      </c>
      <c r="C287" s="74">
        <v>45543</v>
      </c>
      <c r="D287" s="18" t="s">
        <v>87</v>
      </c>
      <c r="E287" s="75">
        <v>3</v>
      </c>
      <c r="F287" s="32" t="s">
        <v>668</v>
      </c>
      <c r="G287" s="75">
        <v>14</v>
      </c>
      <c r="H287" s="18" t="s">
        <v>266</v>
      </c>
      <c r="I287" s="6" t="s">
        <v>1132</v>
      </c>
      <c r="J287" s="6" t="s">
        <v>877</v>
      </c>
      <c r="K287" s="49" t="s">
        <v>16</v>
      </c>
      <c r="L287" s="48" t="s">
        <v>17</v>
      </c>
      <c r="M287" s="86"/>
      <c r="N287" s="64" t="str">
        <f t="shared" si="4"/>
        <v>517 481-2560 : SELECTED TOPICS IN COMPUTER SCIENCE I</v>
      </c>
    </row>
    <row r="288" ht="20.4" spans="1:14">
      <c r="A288" s="71">
        <v>219</v>
      </c>
      <c r="B288" s="71">
        <v>285</v>
      </c>
      <c r="C288" s="78">
        <v>45543</v>
      </c>
      <c r="D288" s="20" t="s">
        <v>87</v>
      </c>
      <c r="E288" s="77">
        <v>3</v>
      </c>
      <c r="F288" s="35" t="s">
        <v>670</v>
      </c>
      <c r="G288" s="77">
        <v>1</v>
      </c>
      <c r="H288" s="20" t="s">
        <v>266</v>
      </c>
      <c r="I288" s="7" t="s">
        <v>1132</v>
      </c>
      <c r="J288" s="7" t="s">
        <v>877</v>
      </c>
      <c r="K288" s="51" t="s">
        <v>115</v>
      </c>
      <c r="L288" s="50" t="s">
        <v>17</v>
      </c>
      <c r="M288" s="86"/>
      <c r="N288" s="64" t="str">
        <f t="shared" si="4"/>
        <v>522 352-2561 : FEATURE ENGINEERING</v>
      </c>
    </row>
  </sheetData>
  <pageMargins left="0.196850393700787" right="0.196850393700787" top="0.354330708661417" bottom="0.354330708661417" header="0.31496062992126" footer="0.31496062992126"/>
  <pageSetup paperSize="9" scale="28" fitToHeight="0" orientation="landscape"/>
  <headerFooter>
    <oddHeader>&amp;R&amp;P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L286"/>
  <sheetViews>
    <sheetView tabSelected="1" zoomScale="85" zoomScaleNormal="85" workbookViewId="0">
      <selection activeCell="H17" sqref="H17"/>
    </sheetView>
  </sheetViews>
  <sheetFormatPr defaultColWidth="9.12962962962963" defaultRowHeight="22.5" customHeight="1"/>
  <cols>
    <col min="1" max="2" width="4.75" style="1" customWidth="1"/>
    <col min="3" max="3" width="10.75" style="25" customWidth="1"/>
    <col min="4" max="4" width="13.25" style="25" customWidth="1"/>
    <col min="5" max="5" width="3.25" style="25" customWidth="1"/>
    <col min="6" max="6" width="101.12962962963" style="25" customWidth="1"/>
    <col min="7" max="7" width="8.75" style="25" customWidth="1"/>
    <col min="8" max="8" width="19.6296296296296" style="25" customWidth="1"/>
    <col min="9" max="9" width="21.8796296296296" style="25" customWidth="1"/>
    <col min="10" max="10" width="9"/>
    <col min="11" max="11" width="9.12962962962963" style="25"/>
    <col min="12" max="12" width="19.6296296296296" style="25" customWidth="1"/>
    <col min="13" max="16384" width="9.12962962962963" style="25"/>
  </cols>
  <sheetData>
    <row r="1" s="24" customFormat="1" customHeight="1" spans="1:12">
      <c r="A1" s="2" t="s">
        <v>817</v>
      </c>
      <c r="B1" s="2" t="s">
        <v>937</v>
      </c>
      <c r="C1" s="26" t="s">
        <v>938</v>
      </c>
      <c r="D1" s="27" t="s">
        <v>939</v>
      </c>
      <c r="E1" s="27" t="s">
        <v>818</v>
      </c>
      <c r="F1" s="27" t="s">
        <v>940</v>
      </c>
      <c r="G1" s="27" t="s">
        <v>941</v>
      </c>
      <c r="H1" s="3" t="s">
        <v>7</v>
      </c>
      <c r="I1" s="44" t="s">
        <v>695</v>
      </c>
      <c r="J1" s="45" t="s">
        <v>10</v>
      </c>
      <c r="K1" s="3" t="s">
        <v>1164</v>
      </c>
      <c r="L1" s="27" t="s">
        <v>698</v>
      </c>
    </row>
    <row r="2" customHeight="1" spans="1:12">
      <c r="A2" s="4">
        <v>1</v>
      </c>
      <c r="B2" s="4">
        <v>1</v>
      </c>
      <c r="C2" s="28">
        <v>45535</v>
      </c>
      <c r="D2" s="29" t="s">
        <v>11</v>
      </c>
      <c r="E2" s="30">
        <v>2</v>
      </c>
      <c r="F2" s="29" t="s">
        <v>699</v>
      </c>
      <c r="G2" s="30">
        <v>28</v>
      </c>
      <c r="H2" s="14"/>
      <c r="I2" s="5" t="s">
        <v>827</v>
      </c>
      <c r="J2" s="46" t="s">
        <v>17</v>
      </c>
      <c r="K2" s="47" t="s">
        <v>16</v>
      </c>
      <c r="L2" s="29" t="s">
        <v>17</v>
      </c>
    </row>
    <row r="3" customHeight="1" spans="1:12">
      <c r="A3" s="4">
        <v>2</v>
      </c>
      <c r="B3" s="4">
        <v>2</v>
      </c>
      <c r="C3" s="31">
        <v>45535</v>
      </c>
      <c r="D3" s="32" t="s">
        <v>11</v>
      </c>
      <c r="E3" s="33">
        <v>2</v>
      </c>
      <c r="F3" s="32" t="s">
        <v>20</v>
      </c>
      <c r="G3" s="33">
        <v>44</v>
      </c>
      <c r="H3" s="14"/>
      <c r="I3" s="32" t="s">
        <v>828</v>
      </c>
      <c r="J3" s="48" t="s">
        <v>17</v>
      </c>
      <c r="K3" s="49" t="s">
        <v>16</v>
      </c>
      <c r="L3" s="29" t="s">
        <v>17</v>
      </c>
    </row>
    <row r="4" customHeight="1" spans="1:12">
      <c r="A4" s="4">
        <v>3</v>
      </c>
      <c r="B4" s="4">
        <v>3</v>
      </c>
      <c r="C4" s="31">
        <v>45535</v>
      </c>
      <c r="D4" s="32" t="s">
        <v>11</v>
      </c>
      <c r="E4" s="33">
        <v>2</v>
      </c>
      <c r="F4" s="32" t="s">
        <v>23</v>
      </c>
      <c r="G4" s="33">
        <v>48</v>
      </c>
      <c r="H4" s="14"/>
      <c r="I4" s="6" t="s">
        <v>829</v>
      </c>
      <c r="J4" s="48" t="s">
        <v>17</v>
      </c>
      <c r="K4" s="49" t="s">
        <v>16</v>
      </c>
      <c r="L4" s="29" t="s">
        <v>17</v>
      </c>
    </row>
    <row r="5" customHeight="1" spans="1:12">
      <c r="A5" s="4">
        <v>3</v>
      </c>
      <c r="B5" s="4">
        <v>4</v>
      </c>
      <c r="C5" s="31">
        <v>45535</v>
      </c>
      <c r="D5" s="32" t="s">
        <v>11</v>
      </c>
      <c r="E5" s="33">
        <v>2</v>
      </c>
      <c r="F5" s="32" t="s">
        <v>23</v>
      </c>
      <c r="G5" s="33">
        <v>27</v>
      </c>
      <c r="H5" s="14"/>
      <c r="I5" s="6" t="s">
        <v>829</v>
      </c>
      <c r="J5" s="48" t="s">
        <v>17</v>
      </c>
      <c r="K5" s="49" t="s">
        <v>16</v>
      </c>
      <c r="L5" s="29" t="s">
        <v>17</v>
      </c>
    </row>
    <row r="6" customHeight="1" spans="1:12">
      <c r="A6" s="4">
        <v>3</v>
      </c>
      <c r="B6" s="4">
        <v>5</v>
      </c>
      <c r="C6" s="31">
        <v>45535</v>
      </c>
      <c r="D6" s="32" t="s">
        <v>11</v>
      </c>
      <c r="E6" s="33">
        <v>2</v>
      </c>
      <c r="F6" s="32" t="s">
        <v>29</v>
      </c>
      <c r="G6" s="33">
        <v>17</v>
      </c>
      <c r="H6" s="14"/>
      <c r="I6" s="6" t="s">
        <v>829</v>
      </c>
      <c r="J6" s="48" t="s">
        <v>17</v>
      </c>
      <c r="K6" s="49" t="s">
        <v>16</v>
      </c>
      <c r="L6" s="29" t="s">
        <v>17</v>
      </c>
    </row>
    <row r="7" customHeight="1" spans="1:12">
      <c r="A7" s="4">
        <v>3</v>
      </c>
      <c r="B7" s="4">
        <v>6</v>
      </c>
      <c r="C7" s="31">
        <v>45535</v>
      </c>
      <c r="D7" s="32" t="s">
        <v>11</v>
      </c>
      <c r="E7" s="33">
        <v>2</v>
      </c>
      <c r="F7" s="32" t="s">
        <v>30</v>
      </c>
      <c r="G7" s="33">
        <v>42</v>
      </c>
      <c r="H7" s="14"/>
      <c r="I7" s="6" t="s">
        <v>829</v>
      </c>
      <c r="J7" s="48" t="s">
        <v>17</v>
      </c>
      <c r="K7" s="49" t="s">
        <v>16</v>
      </c>
      <c r="L7" s="29" t="s">
        <v>17</v>
      </c>
    </row>
    <row r="8" customHeight="1" spans="1:12">
      <c r="A8" s="4">
        <v>4</v>
      </c>
      <c r="B8" s="4">
        <v>7</v>
      </c>
      <c r="C8" s="31">
        <v>45535</v>
      </c>
      <c r="D8" s="32" t="s">
        <v>31</v>
      </c>
      <c r="E8" s="33">
        <v>3</v>
      </c>
      <c r="F8" s="32" t="s">
        <v>32</v>
      </c>
      <c r="G8" s="33">
        <v>126</v>
      </c>
      <c r="H8" s="14"/>
      <c r="I8" s="32" t="s">
        <v>830</v>
      </c>
      <c r="J8" s="48" t="s">
        <v>36</v>
      </c>
      <c r="K8" s="49" t="s">
        <v>16</v>
      </c>
      <c r="L8" s="29" t="s">
        <v>17</v>
      </c>
    </row>
    <row r="9" customHeight="1" spans="1:12">
      <c r="A9" s="4">
        <v>5</v>
      </c>
      <c r="B9" s="4">
        <v>8</v>
      </c>
      <c r="C9" s="31">
        <v>45535</v>
      </c>
      <c r="D9" s="32" t="s">
        <v>31</v>
      </c>
      <c r="E9" s="33">
        <v>3</v>
      </c>
      <c r="F9" s="32" t="s">
        <v>38</v>
      </c>
      <c r="G9" s="33">
        <v>239</v>
      </c>
      <c r="H9" s="14"/>
      <c r="I9" s="32" t="s">
        <v>831</v>
      </c>
      <c r="J9" s="48" t="s">
        <v>36</v>
      </c>
      <c r="K9" s="49" t="s">
        <v>16</v>
      </c>
      <c r="L9" s="29" t="s">
        <v>17</v>
      </c>
    </row>
    <row r="10" customHeight="1" spans="1:12">
      <c r="A10" s="4">
        <v>6</v>
      </c>
      <c r="B10" s="4">
        <v>9</v>
      </c>
      <c r="C10" s="31">
        <v>45535</v>
      </c>
      <c r="D10" s="32" t="s">
        <v>31</v>
      </c>
      <c r="E10" s="33">
        <v>3</v>
      </c>
      <c r="F10" s="32" t="s">
        <v>43</v>
      </c>
      <c r="G10" s="33">
        <v>400</v>
      </c>
      <c r="H10" s="14"/>
      <c r="I10" s="32" t="s">
        <v>832</v>
      </c>
      <c r="J10" s="48" t="s">
        <v>36</v>
      </c>
      <c r="K10" s="49" t="s">
        <v>16</v>
      </c>
      <c r="L10" s="29" t="s">
        <v>17</v>
      </c>
    </row>
    <row r="11" customHeight="1" spans="1:12">
      <c r="A11" s="4">
        <v>7</v>
      </c>
      <c r="B11" s="4">
        <v>10</v>
      </c>
      <c r="C11" s="31">
        <v>45535</v>
      </c>
      <c r="D11" s="32" t="s">
        <v>31</v>
      </c>
      <c r="E11" s="33">
        <v>3</v>
      </c>
      <c r="F11" s="32" t="s">
        <v>48</v>
      </c>
      <c r="G11" s="33">
        <v>58</v>
      </c>
      <c r="H11" s="14"/>
      <c r="I11" s="32" t="s">
        <v>831</v>
      </c>
      <c r="J11" s="48" t="s">
        <v>17</v>
      </c>
      <c r="K11" s="49" t="s">
        <v>16</v>
      </c>
      <c r="L11" s="29" t="s">
        <v>17</v>
      </c>
    </row>
    <row r="12" customHeight="1" spans="1:12">
      <c r="A12" s="4">
        <v>8</v>
      </c>
      <c r="B12" s="4">
        <v>11</v>
      </c>
      <c r="C12" s="31">
        <v>45535</v>
      </c>
      <c r="D12" s="32" t="s">
        <v>31</v>
      </c>
      <c r="E12" s="33">
        <v>3</v>
      </c>
      <c r="F12" s="32" t="s">
        <v>52</v>
      </c>
      <c r="G12" s="33">
        <v>24</v>
      </c>
      <c r="H12" s="14"/>
      <c r="I12" s="32" t="s">
        <v>833</v>
      </c>
      <c r="J12" s="48" t="s">
        <v>17</v>
      </c>
      <c r="K12" s="49" t="s">
        <v>16</v>
      </c>
      <c r="L12" s="29" t="s">
        <v>17</v>
      </c>
    </row>
    <row r="13" customHeight="1" spans="1:12">
      <c r="A13" s="4">
        <v>9</v>
      </c>
      <c r="B13" s="4">
        <v>12</v>
      </c>
      <c r="C13" s="31">
        <v>45535</v>
      </c>
      <c r="D13" s="32" t="s">
        <v>31</v>
      </c>
      <c r="E13" s="33">
        <v>3</v>
      </c>
      <c r="F13" s="32" t="s">
        <v>57</v>
      </c>
      <c r="G13" s="33">
        <v>136</v>
      </c>
      <c r="H13" s="14"/>
      <c r="I13" s="32" t="s">
        <v>834</v>
      </c>
      <c r="J13" s="48" t="s">
        <v>36</v>
      </c>
      <c r="K13" s="49" t="s">
        <v>16</v>
      </c>
      <c r="L13" s="29" t="s">
        <v>17</v>
      </c>
    </row>
    <row r="14" customHeight="1" spans="1:12">
      <c r="A14" s="4">
        <v>10</v>
      </c>
      <c r="B14" s="4">
        <v>13</v>
      </c>
      <c r="C14" s="31">
        <v>45535</v>
      </c>
      <c r="D14" s="32" t="s">
        <v>31</v>
      </c>
      <c r="E14" s="33">
        <v>3</v>
      </c>
      <c r="F14" s="32" t="s">
        <v>62</v>
      </c>
      <c r="G14" s="33">
        <v>63</v>
      </c>
      <c r="H14" s="14"/>
      <c r="I14" s="32" t="s">
        <v>835</v>
      </c>
      <c r="J14" s="48" t="s">
        <v>17</v>
      </c>
      <c r="K14" s="49" t="s">
        <v>16</v>
      </c>
      <c r="L14" s="29" t="s">
        <v>17</v>
      </c>
    </row>
    <row r="15" customHeight="1" spans="1:12">
      <c r="A15" s="4">
        <v>11</v>
      </c>
      <c r="B15" s="4">
        <v>14</v>
      </c>
      <c r="C15" s="31">
        <v>45535</v>
      </c>
      <c r="D15" s="32" t="s">
        <v>31</v>
      </c>
      <c r="E15" s="33">
        <v>3</v>
      </c>
      <c r="F15" s="32" t="s">
        <v>67</v>
      </c>
      <c r="G15" s="33">
        <v>4</v>
      </c>
      <c r="H15" s="14"/>
      <c r="I15" s="6" t="s">
        <v>836</v>
      </c>
      <c r="J15" s="48" t="s">
        <v>17</v>
      </c>
      <c r="K15" s="49" t="s">
        <v>16</v>
      </c>
      <c r="L15" s="29" t="s">
        <v>17</v>
      </c>
    </row>
    <row r="16" customHeight="1" spans="1:12">
      <c r="A16" s="4">
        <v>11</v>
      </c>
      <c r="B16" s="4">
        <v>15</v>
      </c>
      <c r="C16" s="31">
        <v>45535</v>
      </c>
      <c r="D16" s="32" t="s">
        <v>31</v>
      </c>
      <c r="E16" s="33">
        <v>3</v>
      </c>
      <c r="F16" s="34" t="s">
        <v>71</v>
      </c>
      <c r="G16" s="33">
        <v>38</v>
      </c>
      <c r="H16" s="14"/>
      <c r="I16" s="6" t="s">
        <v>836</v>
      </c>
      <c r="J16" s="48" t="s">
        <v>17</v>
      </c>
      <c r="K16" s="49" t="s">
        <v>16</v>
      </c>
      <c r="L16" s="29" t="s">
        <v>17</v>
      </c>
    </row>
    <row r="17" customHeight="1" spans="1:12">
      <c r="A17" s="4">
        <v>12</v>
      </c>
      <c r="B17" s="4">
        <v>16</v>
      </c>
      <c r="C17" s="31">
        <v>45535</v>
      </c>
      <c r="D17" s="32" t="s">
        <v>31</v>
      </c>
      <c r="E17" s="33">
        <v>3</v>
      </c>
      <c r="F17" s="32" t="s">
        <v>72</v>
      </c>
      <c r="G17" s="33">
        <v>134</v>
      </c>
      <c r="H17" s="14"/>
      <c r="I17" s="6" t="s">
        <v>837</v>
      </c>
      <c r="J17" s="48" t="s">
        <v>36</v>
      </c>
      <c r="K17" s="49" t="s">
        <v>16</v>
      </c>
      <c r="L17" s="29" t="s">
        <v>17</v>
      </c>
    </row>
    <row r="18" customHeight="1" spans="1:12">
      <c r="A18" s="4">
        <v>13</v>
      </c>
      <c r="B18" s="4">
        <v>17</v>
      </c>
      <c r="C18" s="31">
        <v>45535</v>
      </c>
      <c r="D18" s="35" t="s">
        <v>31</v>
      </c>
      <c r="E18" s="36">
        <v>3</v>
      </c>
      <c r="F18" s="35" t="s">
        <v>76</v>
      </c>
      <c r="G18" s="36">
        <v>97</v>
      </c>
      <c r="H18" s="14"/>
      <c r="I18" s="7" t="s">
        <v>838</v>
      </c>
      <c r="J18" s="50" t="s">
        <v>17</v>
      </c>
      <c r="K18" s="51" t="s">
        <v>16</v>
      </c>
      <c r="L18" s="29" t="s">
        <v>17</v>
      </c>
    </row>
    <row r="19" customHeight="1" spans="1:12">
      <c r="A19" s="4">
        <v>14</v>
      </c>
      <c r="B19" s="4">
        <v>18</v>
      </c>
      <c r="C19" s="31">
        <v>45535</v>
      </c>
      <c r="D19" s="32" t="s">
        <v>80</v>
      </c>
      <c r="E19" s="33">
        <v>2</v>
      </c>
      <c r="F19" s="32" t="s">
        <v>81</v>
      </c>
      <c r="G19" s="33">
        <v>412</v>
      </c>
      <c r="H19" s="14"/>
      <c r="I19" s="32" t="s">
        <v>839</v>
      </c>
      <c r="J19" s="46" t="s">
        <v>36</v>
      </c>
      <c r="K19" s="49" t="s">
        <v>16</v>
      </c>
      <c r="L19" s="29" t="s">
        <v>17</v>
      </c>
    </row>
    <row r="20" customHeight="1" spans="1:12">
      <c r="A20" s="4">
        <v>14</v>
      </c>
      <c r="B20" s="4">
        <v>19</v>
      </c>
      <c r="C20" s="31">
        <v>45535</v>
      </c>
      <c r="D20" s="32" t="s">
        <v>80</v>
      </c>
      <c r="E20" s="33">
        <v>2</v>
      </c>
      <c r="F20" s="32" t="s">
        <v>85</v>
      </c>
      <c r="G20" s="33">
        <v>11</v>
      </c>
      <c r="H20" s="14"/>
      <c r="I20" s="32" t="s">
        <v>839</v>
      </c>
      <c r="J20" s="48" t="s">
        <v>17</v>
      </c>
      <c r="K20" s="49" t="s">
        <v>16</v>
      </c>
      <c r="L20" s="29" t="s">
        <v>17</v>
      </c>
    </row>
    <row r="21" customHeight="1" spans="1:12">
      <c r="A21" s="4">
        <v>15</v>
      </c>
      <c r="B21" s="4">
        <v>20</v>
      </c>
      <c r="C21" s="31">
        <v>45535</v>
      </c>
      <c r="D21" s="32" t="s">
        <v>87</v>
      </c>
      <c r="E21" s="33">
        <v>3</v>
      </c>
      <c r="F21" s="32" t="s">
        <v>88</v>
      </c>
      <c r="G21" s="33">
        <v>70</v>
      </c>
      <c r="H21" s="14"/>
      <c r="I21" s="6" t="s">
        <v>832</v>
      </c>
      <c r="J21" s="48" t="s">
        <v>17</v>
      </c>
      <c r="K21" s="49" t="s">
        <v>16</v>
      </c>
      <c r="L21" s="29" t="s">
        <v>17</v>
      </c>
    </row>
    <row r="22" customHeight="1" spans="1:12">
      <c r="A22" s="4">
        <v>15</v>
      </c>
      <c r="B22" s="4">
        <v>21</v>
      </c>
      <c r="C22" s="31">
        <v>45535</v>
      </c>
      <c r="D22" s="32" t="s">
        <v>87</v>
      </c>
      <c r="E22" s="33">
        <v>3</v>
      </c>
      <c r="F22" s="32" t="s">
        <v>88</v>
      </c>
      <c r="G22" s="33">
        <v>70</v>
      </c>
      <c r="H22" s="14"/>
      <c r="I22" s="6" t="s">
        <v>832</v>
      </c>
      <c r="J22" s="48" t="s">
        <v>17</v>
      </c>
      <c r="K22" s="49" t="s">
        <v>16</v>
      </c>
      <c r="L22" s="29" t="s">
        <v>17</v>
      </c>
    </row>
    <row r="23" customHeight="1" spans="1:12">
      <c r="A23" s="4">
        <v>15</v>
      </c>
      <c r="B23" s="4">
        <v>22</v>
      </c>
      <c r="C23" s="31">
        <v>45535</v>
      </c>
      <c r="D23" s="32" t="s">
        <v>87</v>
      </c>
      <c r="E23" s="33">
        <v>3</v>
      </c>
      <c r="F23" s="32" t="s">
        <v>88</v>
      </c>
      <c r="G23" s="33">
        <v>60</v>
      </c>
      <c r="H23" s="14"/>
      <c r="I23" s="6" t="s">
        <v>832</v>
      </c>
      <c r="J23" s="48" t="s">
        <v>17</v>
      </c>
      <c r="K23" s="49" t="s">
        <v>16</v>
      </c>
      <c r="L23" s="29" t="s">
        <v>17</v>
      </c>
    </row>
    <row r="24" customHeight="1" spans="1:12">
      <c r="A24" s="4">
        <v>16</v>
      </c>
      <c r="B24" s="4">
        <v>23</v>
      </c>
      <c r="C24" s="31">
        <v>45535</v>
      </c>
      <c r="D24" s="32" t="s">
        <v>87</v>
      </c>
      <c r="E24" s="33">
        <v>3</v>
      </c>
      <c r="F24" s="32" t="s">
        <v>92</v>
      </c>
      <c r="G24" s="33">
        <v>255</v>
      </c>
      <c r="H24" s="14"/>
      <c r="I24" s="6" t="s">
        <v>840</v>
      </c>
      <c r="J24" s="48" t="s">
        <v>36</v>
      </c>
      <c r="K24" s="49" t="s">
        <v>16</v>
      </c>
      <c r="L24" s="29" t="s">
        <v>17</v>
      </c>
    </row>
    <row r="25" customHeight="1" spans="1:12">
      <c r="A25" s="4">
        <v>17</v>
      </c>
      <c r="B25" s="4">
        <v>24</v>
      </c>
      <c r="C25" s="31">
        <v>45535</v>
      </c>
      <c r="D25" s="32" t="s">
        <v>87</v>
      </c>
      <c r="E25" s="33">
        <v>3</v>
      </c>
      <c r="F25" s="32" t="s">
        <v>95</v>
      </c>
      <c r="G25" s="33">
        <v>112</v>
      </c>
      <c r="H25" s="14"/>
      <c r="I25" s="6" t="s">
        <v>840</v>
      </c>
      <c r="J25" s="48" t="s">
        <v>97</v>
      </c>
      <c r="K25" s="49" t="s">
        <v>16</v>
      </c>
      <c r="L25" s="29" t="s">
        <v>17</v>
      </c>
    </row>
    <row r="26" customHeight="1" spans="1:12">
      <c r="A26" s="4">
        <v>18</v>
      </c>
      <c r="B26" s="4">
        <v>25</v>
      </c>
      <c r="C26" s="31">
        <v>45535</v>
      </c>
      <c r="D26" s="32" t="s">
        <v>87</v>
      </c>
      <c r="E26" s="33">
        <v>3</v>
      </c>
      <c r="F26" s="32" t="s">
        <v>964</v>
      </c>
      <c r="G26" s="33">
        <v>13</v>
      </c>
      <c r="H26" s="14"/>
      <c r="I26" s="6" t="s">
        <v>841</v>
      </c>
      <c r="J26" s="52" t="s">
        <v>101</v>
      </c>
      <c r="K26" s="49" t="s">
        <v>16</v>
      </c>
      <c r="L26" s="29" t="s">
        <v>17</v>
      </c>
    </row>
    <row r="27" customHeight="1" spans="1:12">
      <c r="A27" s="4">
        <v>18</v>
      </c>
      <c r="B27" s="4">
        <v>26</v>
      </c>
      <c r="C27" s="31">
        <v>45535</v>
      </c>
      <c r="D27" s="32" t="s">
        <v>87</v>
      </c>
      <c r="E27" s="33">
        <v>3</v>
      </c>
      <c r="F27" s="32" t="s">
        <v>965</v>
      </c>
      <c r="G27" s="33">
        <v>33</v>
      </c>
      <c r="H27" s="14"/>
      <c r="I27" s="6" t="s">
        <v>841</v>
      </c>
      <c r="J27" s="52" t="s">
        <v>101</v>
      </c>
      <c r="K27" s="49" t="s">
        <v>16</v>
      </c>
      <c r="L27" s="29" t="s">
        <v>17</v>
      </c>
    </row>
    <row r="28" customHeight="1" spans="1:12">
      <c r="A28" s="4">
        <v>19</v>
      </c>
      <c r="B28" s="4">
        <v>27</v>
      </c>
      <c r="C28" s="31">
        <v>45535</v>
      </c>
      <c r="D28" s="32" t="s">
        <v>87</v>
      </c>
      <c r="E28" s="33">
        <v>3</v>
      </c>
      <c r="F28" s="32" t="s">
        <v>103</v>
      </c>
      <c r="G28" s="33">
        <v>24</v>
      </c>
      <c r="H28" s="14"/>
      <c r="I28" s="32" t="s">
        <v>833</v>
      </c>
      <c r="J28" s="48" t="s">
        <v>17</v>
      </c>
      <c r="K28" s="49" t="s">
        <v>16</v>
      </c>
      <c r="L28" s="29" t="s">
        <v>17</v>
      </c>
    </row>
    <row r="29" customHeight="1" spans="1:12">
      <c r="A29" s="4">
        <v>20</v>
      </c>
      <c r="B29" s="4">
        <v>28</v>
      </c>
      <c r="C29" s="31">
        <v>45535</v>
      </c>
      <c r="D29" s="32" t="s">
        <v>87</v>
      </c>
      <c r="E29" s="33">
        <v>3</v>
      </c>
      <c r="F29" s="32" t="s">
        <v>107</v>
      </c>
      <c r="G29" s="33">
        <v>281</v>
      </c>
      <c r="H29" s="14"/>
      <c r="I29" s="32" t="s">
        <v>842</v>
      </c>
      <c r="J29" s="48" t="s">
        <v>36</v>
      </c>
      <c r="K29" s="49" t="s">
        <v>16</v>
      </c>
      <c r="L29" s="29" t="s">
        <v>17</v>
      </c>
    </row>
    <row r="30" customHeight="1" spans="1:12">
      <c r="A30" s="4">
        <v>21</v>
      </c>
      <c r="B30" s="4">
        <v>29</v>
      </c>
      <c r="C30" s="31">
        <v>45535</v>
      </c>
      <c r="D30" s="32" t="s">
        <v>87</v>
      </c>
      <c r="E30" s="33">
        <v>3</v>
      </c>
      <c r="F30" s="32" t="s">
        <v>111</v>
      </c>
      <c r="G30" s="33">
        <v>96</v>
      </c>
      <c r="H30" s="14"/>
      <c r="I30" s="32" t="s">
        <v>843</v>
      </c>
      <c r="J30" s="48" t="s">
        <v>17</v>
      </c>
      <c r="K30" s="49" t="s">
        <v>16</v>
      </c>
      <c r="L30" s="29" t="s">
        <v>17</v>
      </c>
    </row>
    <row r="31" customHeight="1" spans="1:12">
      <c r="A31" s="4">
        <v>22</v>
      </c>
      <c r="B31" s="4">
        <v>30</v>
      </c>
      <c r="C31" s="31">
        <v>45535</v>
      </c>
      <c r="D31" s="32" t="s">
        <v>87</v>
      </c>
      <c r="E31" s="33">
        <v>3</v>
      </c>
      <c r="F31" s="32" t="s">
        <v>67</v>
      </c>
      <c r="G31" s="33">
        <v>4</v>
      </c>
      <c r="H31" s="14"/>
      <c r="I31" s="6" t="s">
        <v>836</v>
      </c>
      <c r="J31" s="48" t="s">
        <v>17</v>
      </c>
      <c r="K31" s="49" t="s">
        <v>115</v>
      </c>
      <c r="L31" s="29" t="s">
        <v>17</v>
      </c>
    </row>
    <row r="32" customHeight="1" spans="1:12">
      <c r="A32" s="4">
        <v>22</v>
      </c>
      <c r="B32" s="4">
        <v>31</v>
      </c>
      <c r="C32" s="31">
        <v>45535</v>
      </c>
      <c r="D32" s="32" t="s">
        <v>87</v>
      </c>
      <c r="E32" s="33">
        <v>3</v>
      </c>
      <c r="F32" s="32" t="s">
        <v>71</v>
      </c>
      <c r="G32" s="33">
        <v>38</v>
      </c>
      <c r="H32" s="14"/>
      <c r="I32" s="6" t="s">
        <v>836</v>
      </c>
      <c r="J32" s="48" t="s">
        <v>17</v>
      </c>
      <c r="K32" s="49" t="s">
        <v>115</v>
      </c>
      <c r="L32" s="29" t="s">
        <v>17</v>
      </c>
    </row>
    <row r="33" customHeight="1" spans="1:12">
      <c r="A33" s="4">
        <v>23</v>
      </c>
      <c r="B33" s="4">
        <v>32</v>
      </c>
      <c r="C33" s="31">
        <v>45535</v>
      </c>
      <c r="D33" s="32" t="s">
        <v>87</v>
      </c>
      <c r="E33" s="33">
        <v>3</v>
      </c>
      <c r="F33" s="32" t="s">
        <v>116</v>
      </c>
      <c r="G33" s="33">
        <v>89</v>
      </c>
      <c r="H33" s="14"/>
      <c r="I33" s="6" t="s">
        <v>844</v>
      </c>
      <c r="J33" s="52" t="s">
        <v>119</v>
      </c>
      <c r="K33" s="49" t="s">
        <v>16</v>
      </c>
      <c r="L33" s="29" t="s">
        <v>17</v>
      </c>
    </row>
    <row r="34" customHeight="1" spans="1:12">
      <c r="A34" s="4">
        <v>23</v>
      </c>
      <c r="B34" s="4">
        <v>33</v>
      </c>
      <c r="C34" s="31">
        <v>45535</v>
      </c>
      <c r="D34" s="32" t="s">
        <v>87</v>
      </c>
      <c r="E34" s="33">
        <v>3</v>
      </c>
      <c r="F34" s="32" t="s">
        <v>120</v>
      </c>
      <c r="G34" s="33">
        <v>16</v>
      </c>
      <c r="H34" s="14"/>
      <c r="I34" s="6" t="s">
        <v>844</v>
      </c>
      <c r="J34" s="52" t="s">
        <v>119</v>
      </c>
      <c r="K34" s="49" t="s">
        <v>16</v>
      </c>
      <c r="L34" s="29" t="s">
        <v>17</v>
      </c>
    </row>
    <row r="35" customHeight="1" spans="1:12">
      <c r="A35" s="4">
        <v>24</v>
      </c>
      <c r="B35" s="4">
        <v>34</v>
      </c>
      <c r="C35" s="37">
        <v>45535</v>
      </c>
      <c r="D35" s="35" t="s">
        <v>87</v>
      </c>
      <c r="E35" s="36">
        <v>3</v>
      </c>
      <c r="F35" s="35" t="s">
        <v>708</v>
      </c>
      <c r="G35" s="36">
        <v>57</v>
      </c>
      <c r="H35" s="14"/>
      <c r="I35" s="35" t="s">
        <v>845</v>
      </c>
      <c r="J35" s="50" t="s">
        <v>123</v>
      </c>
      <c r="K35" s="51" t="s">
        <v>16</v>
      </c>
      <c r="L35" s="29" t="s">
        <v>17</v>
      </c>
    </row>
    <row r="36" customHeight="1" spans="1:12">
      <c r="A36" s="4">
        <v>25</v>
      </c>
      <c r="B36" s="4">
        <v>35</v>
      </c>
      <c r="C36" s="38">
        <v>45536</v>
      </c>
      <c r="D36" s="39" t="s">
        <v>11</v>
      </c>
      <c r="E36" s="40">
        <v>2</v>
      </c>
      <c r="F36" s="39" t="s">
        <v>709</v>
      </c>
      <c r="G36" s="40">
        <v>5</v>
      </c>
      <c r="H36" s="14"/>
      <c r="I36" s="8" t="s">
        <v>846</v>
      </c>
      <c r="J36" s="46" t="s">
        <v>128</v>
      </c>
      <c r="K36" s="53" t="s">
        <v>16</v>
      </c>
      <c r="L36" s="29" t="s">
        <v>17</v>
      </c>
    </row>
    <row r="37" customHeight="1" spans="1:12">
      <c r="A37" s="4">
        <v>26</v>
      </c>
      <c r="B37" s="4">
        <v>36</v>
      </c>
      <c r="C37" s="31">
        <v>45536</v>
      </c>
      <c r="D37" s="32" t="s">
        <v>11</v>
      </c>
      <c r="E37" s="33">
        <v>2</v>
      </c>
      <c r="F37" s="32" t="s">
        <v>131</v>
      </c>
      <c r="G37" s="33">
        <v>95</v>
      </c>
      <c r="H37" s="14"/>
      <c r="I37" s="32" t="s">
        <v>847</v>
      </c>
      <c r="J37" s="48" t="s">
        <v>119</v>
      </c>
      <c r="K37" s="49" t="s">
        <v>16</v>
      </c>
      <c r="L37" s="29" t="s">
        <v>17</v>
      </c>
    </row>
    <row r="38" customHeight="1" spans="1:12">
      <c r="A38" s="4">
        <v>27</v>
      </c>
      <c r="B38" s="4">
        <v>37</v>
      </c>
      <c r="C38" s="31">
        <v>45536</v>
      </c>
      <c r="D38" s="32" t="s">
        <v>11</v>
      </c>
      <c r="E38" s="33">
        <v>2</v>
      </c>
      <c r="F38" s="32" t="s">
        <v>710</v>
      </c>
      <c r="G38" s="33">
        <v>20</v>
      </c>
      <c r="H38" s="14"/>
      <c r="I38" s="32" t="s">
        <v>848</v>
      </c>
      <c r="J38" s="48" t="s">
        <v>17</v>
      </c>
      <c r="K38" s="49" t="s">
        <v>16</v>
      </c>
      <c r="L38" s="29" t="s">
        <v>17</v>
      </c>
    </row>
    <row r="39" customHeight="1" spans="1:12">
      <c r="A39" s="4">
        <v>28</v>
      </c>
      <c r="B39" s="4">
        <v>38</v>
      </c>
      <c r="C39" s="31">
        <v>45536</v>
      </c>
      <c r="D39" s="32" t="s">
        <v>11</v>
      </c>
      <c r="E39" s="33">
        <v>2</v>
      </c>
      <c r="F39" s="32" t="s">
        <v>139</v>
      </c>
      <c r="G39" s="33">
        <v>30</v>
      </c>
      <c r="H39" s="14"/>
      <c r="I39" s="6" t="s">
        <v>849</v>
      </c>
      <c r="J39" s="48" t="s">
        <v>17</v>
      </c>
      <c r="K39" s="49" t="s">
        <v>115</v>
      </c>
      <c r="L39" s="29" t="s">
        <v>17</v>
      </c>
    </row>
    <row r="40" customHeight="1" spans="1:12">
      <c r="A40" s="4">
        <v>28</v>
      </c>
      <c r="B40" s="4">
        <v>39</v>
      </c>
      <c r="C40" s="31">
        <v>45536</v>
      </c>
      <c r="D40" s="32" t="s">
        <v>11</v>
      </c>
      <c r="E40" s="33">
        <v>2</v>
      </c>
      <c r="F40" s="32" t="s">
        <v>139</v>
      </c>
      <c r="G40" s="33">
        <v>70</v>
      </c>
      <c r="H40" s="14"/>
      <c r="I40" s="6" t="s">
        <v>849</v>
      </c>
      <c r="J40" s="48" t="s">
        <v>17</v>
      </c>
      <c r="K40" s="49" t="s">
        <v>115</v>
      </c>
      <c r="L40" s="29" t="s">
        <v>17</v>
      </c>
    </row>
    <row r="41" customHeight="1" spans="1:12">
      <c r="A41" s="4">
        <v>28</v>
      </c>
      <c r="B41" s="4">
        <v>40</v>
      </c>
      <c r="C41" s="31">
        <v>45536</v>
      </c>
      <c r="D41" s="32" t="s">
        <v>11</v>
      </c>
      <c r="E41" s="33">
        <v>2</v>
      </c>
      <c r="F41" s="32" t="s">
        <v>143</v>
      </c>
      <c r="G41" s="33">
        <v>7</v>
      </c>
      <c r="H41" s="14"/>
      <c r="I41" s="6" t="s">
        <v>849</v>
      </c>
      <c r="J41" s="48" t="s">
        <v>17</v>
      </c>
      <c r="K41" s="49" t="s">
        <v>115</v>
      </c>
      <c r="L41" s="29" t="s">
        <v>17</v>
      </c>
    </row>
    <row r="42" customHeight="1" spans="1:12">
      <c r="A42" s="4">
        <v>29</v>
      </c>
      <c r="B42" s="4">
        <v>41</v>
      </c>
      <c r="C42" s="31">
        <v>45536</v>
      </c>
      <c r="D42" s="32" t="s">
        <v>31</v>
      </c>
      <c r="E42" s="33">
        <v>3</v>
      </c>
      <c r="F42" s="32" t="s">
        <v>145</v>
      </c>
      <c r="G42" s="33">
        <v>344</v>
      </c>
      <c r="H42" s="14"/>
      <c r="I42" s="6" t="s">
        <v>850</v>
      </c>
      <c r="J42" s="52" t="s">
        <v>36</v>
      </c>
      <c r="K42" s="49" t="s">
        <v>16</v>
      </c>
      <c r="L42" s="29" t="s">
        <v>17</v>
      </c>
    </row>
    <row r="43" customHeight="1" spans="1:12">
      <c r="A43" s="4">
        <v>29</v>
      </c>
      <c r="B43" s="4">
        <v>42</v>
      </c>
      <c r="C43" s="31">
        <v>45536</v>
      </c>
      <c r="D43" s="32" t="s">
        <v>31</v>
      </c>
      <c r="E43" s="33">
        <v>3</v>
      </c>
      <c r="F43" s="32" t="s">
        <v>148</v>
      </c>
      <c r="G43" s="33">
        <v>38</v>
      </c>
      <c r="H43" s="14"/>
      <c r="I43" s="6" t="s">
        <v>850</v>
      </c>
      <c r="J43" s="52" t="s">
        <v>36</v>
      </c>
      <c r="K43" s="49" t="s">
        <v>16</v>
      </c>
      <c r="L43" s="29" t="s">
        <v>17</v>
      </c>
    </row>
    <row r="44" customHeight="1" spans="1:12">
      <c r="A44" s="4">
        <v>30</v>
      </c>
      <c r="B44" s="4">
        <v>43</v>
      </c>
      <c r="C44" s="31">
        <v>45536</v>
      </c>
      <c r="D44" s="32" t="s">
        <v>31</v>
      </c>
      <c r="E44" s="33">
        <v>3</v>
      </c>
      <c r="F44" s="32" t="s">
        <v>149</v>
      </c>
      <c r="G44" s="33">
        <v>44</v>
      </c>
      <c r="H44" s="18" t="s">
        <v>13</v>
      </c>
      <c r="I44" s="6" t="s">
        <v>830</v>
      </c>
      <c r="J44" s="48" t="s">
        <v>17</v>
      </c>
      <c r="K44" s="49" t="s">
        <v>16</v>
      </c>
      <c r="L44" s="29" t="s">
        <v>17</v>
      </c>
    </row>
    <row r="45" customHeight="1" spans="1:12">
      <c r="A45" s="4">
        <v>31</v>
      </c>
      <c r="B45" s="4">
        <v>44</v>
      </c>
      <c r="C45" s="31">
        <v>45536</v>
      </c>
      <c r="D45" s="32" t="s">
        <v>31</v>
      </c>
      <c r="E45" s="33">
        <v>3</v>
      </c>
      <c r="F45" s="32" t="s">
        <v>714</v>
      </c>
      <c r="G45" s="33">
        <v>19</v>
      </c>
      <c r="H45" s="18" t="s">
        <v>73</v>
      </c>
      <c r="I45" s="32" t="s">
        <v>851</v>
      </c>
      <c r="J45" s="48" t="s">
        <v>154</v>
      </c>
      <c r="K45" s="49" t="s">
        <v>16</v>
      </c>
      <c r="L45" s="29" t="s">
        <v>17</v>
      </c>
    </row>
    <row r="46" customHeight="1" spans="1:12">
      <c r="A46" s="4">
        <v>32</v>
      </c>
      <c r="B46" s="4">
        <v>45</v>
      </c>
      <c r="C46" s="31">
        <v>45536</v>
      </c>
      <c r="D46" s="32" t="s">
        <v>31</v>
      </c>
      <c r="E46" s="33">
        <v>3</v>
      </c>
      <c r="F46" s="32" t="s">
        <v>156</v>
      </c>
      <c r="G46" s="33">
        <v>83</v>
      </c>
      <c r="H46" s="18" t="s">
        <v>73</v>
      </c>
      <c r="I46" s="6" t="s">
        <v>852</v>
      </c>
      <c r="J46" s="48" t="s">
        <v>158</v>
      </c>
      <c r="K46" s="49" t="s">
        <v>16</v>
      </c>
      <c r="L46" s="29" t="s">
        <v>17</v>
      </c>
    </row>
    <row r="47" customHeight="1" spans="1:12">
      <c r="A47" s="4">
        <v>33</v>
      </c>
      <c r="B47" s="4">
        <v>46</v>
      </c>
      <c r="C47" s="31">
        <v>45536</v>
      </c>
      <c r="D47" s="32" t="s">
        <v>31</v>
      </c>
      <c r="E47" s="33">
        <v>3</v>
      </c>
      <c r="F47" s="32" t="s">
        <v>159</v>
      </c>
      <c r="G47" s="33">
        <v>75</v>
      </c>
      <c r="H47" s="18" t="s">
        <v>68</v>
      </c>
      <c r="I47" s="6" t="s">
        <v>853</v>
      </c>
      <c r="J47" s="48" t="s">
        <v>17</v>
      </c>
      <c r="K47" s="49" t="s">
        <v>115</v>
      </c>
      <c r="L47" s="29" t="s">
        <v>17</v>
      </c>
    </row>
    <row r="48" customHeight="1" spans="1:12">
      <c r="A48" s="4">
        <v>34</v>
      </c>
      <c r="B48" s="4">
        <v>47</v>
      </c>
      <c r="C48" s="31">
        <v>45536</v>
      </c>
      <c r="D48" s="32" t="s">
        <v>31</v>
      </c>
      <c r="E48" s="33">
        <v>3</v>
      </c>
      <c r="F48" s="32" t="s">
        <v>162</v>
      </c>
      <c r="G48" s="33">
        <v>8</v>
      </c>
      <c r="H48" s="18" t="s">
        <v>163</v>
      </c>
      <c r="I48" s="32" t="s">
        <v>854</v>
      </c>
      <c r="J48" s="48" t="s">
        <v>17</v>
      </c>
      <c r="K48" s="49" t="s">
        <v>115</v>
      </c>
      <c r="L48" s="29" t="s">
        <v>17</v>
      </c>
    </row>
    <row r="49" customHeight="1" spans="1:12">
      <c r="A49" s="4">
        <v>35</v>
      </c>
      <c r="B49" s="4">
        <v>48</v>
      </c>
      <c r="C49" s="31">
        <v>45536</v>
      </c>
      <c r="D49" s="32" t="s">
        <v>31</v>
      </c>
      <c r="E49" s="33">
        <v>3</v>
      </c>
      <c r="F49" s="32" t="s">
        <v>717</v>
      </c>
      <c r="G49" s="33">
        <v>47</v>
      </c>
      <c r="H49" s="18" t="s">
        <v>39</v>
      </c>
      <c r="I49" s="6" t="s">
        <v>855</v>
      </c>
      <c r="J49" s="48" t="s">
        <v>170</v>
      </c>
      <c r="K49" s="49" t="s">
        <v>16</v>
      </c>
      <c r="L49" s="29" t="s">
        <v>17</v>
      </c>
    </row>
    <row r="50" customHeight="1" spans="1:12">
      <c r="A50" s="4">
        <v>36</v>
      </c>
      <c r="B50" s="4">
        <v>49</v>
      </c>
      <c r="C50" s="31">
        <v>45536</v>
      </c>
      <c r="D50" s="41" t="s">
        <v>31</v>
      </c>
      <c r="E50" s="42">
        <v>3</v>
      </c>
      <c r="F50" s="41" t="s">
        <v>171</v>
      </c>
      <c r="G50" s="42">
        <v>107</v>
      </c>
      <c r="H50" s="22" t="s">
        <v>39</v>
      </c>
      <c r="I50" s="41" t="s">
        <v>856</v>
      </c>
      <c r="J50" s="48" t="s">
        <v>173</v>
      </c>
      <c r="K50" s="54" t="s">
        <v>16</v>
      </c>
      <c r="L50" s="29" t="s">
        <v>17</v>
      </c>
    </row>
    <row r="51" customHeight="1" spans="1:12">
      <c r="A51" s="4">
        <v>37</v>
      </c>
      <c r="B51" s="4">
        <v>50</v>
      </c>
      <c r="C51" s="31">
        <v>45536</v>
      </c>
      <c r="D51" s="35" t="s">
        <v>31</v>
      </c>
      <c r="E51" s="36">
        <v>3</v>
      </c>
      <c r="F51" s="35" t="s">
        <v>979</v>
      </c>
      <c r="G51" s="36">
        <v>4</v>
      </c>
      <c r="H51" s="20" t="s">
        <v>176</v>
      </c>
      <c r="I51" s="7" t="s">
        <v>858</v>
      </c>
      <c r="J51" s="50" t="s">
        <v>176</v>
      </c>
      <c r="K51" s="51" t="s">
        <v>16</v>
      </c>
      <c r="L51" s="29" t="s">
        <v>17</v>
      </c>
    </row>
    <row r="52" customHeight="1" spans="1:12">
      <c r="A52" s="4">
        <v>38</v>
      </c>
      <c r="B52" s="4">
        <v>51</v>
      </c>
      <c r="C52" s="31">
        <v>45536</v>
      </c>
      <c r="D52" s="39" t="s">
        <v>80</v>
      </c>
      <c r="E52" s="40">
        <v>2</v>
      </c>
      <c r="F52" s="39" t="s">
        <v>180</v>
      </c>
      <c r="G52" s="40">
        <v>414</v>
      </c>
      <c r="H52" s="21" t="s">
        <v>44</v>
      </c>
      <c r="I52" s="39" t="s">
        <v>848</v>
      </c>
      <c r="J52" s="55" t="s">
        <v>36</v>
      </c>
      <c r="K52" s="53" t="s">
        <v>16</v>
      </c>
      <c r="L52" s="29" t="s">
        <v>17</v>
      </c>
    </row>
    <row r="53" customHeight="1" spans="1:12">
      <c r="A53" s="4">
        <v>39</v>
      </c>
      <c r="B53" s="4">
        <v>52</v>
      </c>
      <c r="C53" s="31">
        <v>45536</v>
      </c>
      <c r="D53" s="32" t="s">
        <v>80</v>
      </c>
      <c r="E53" s="33">
        <v>2</v>
      </c>
      <c r="F53" s="32" t="s">
        <v>183</v>
      </c>
      <c r="G53" s="33">
        <v>21</v>
      </c>
      <c r="H53" s="18" t="s">
        <v>13</v>
      </c>
      <c r="I53" s="6" t="s">
        <v>859</v>
      </c>
      <c r="J53" s="48" t="s">
        <v>17</v>
      </c>
      <c r="K53" s="49" t="s">
        <v>16</v>
      </c>
      <c r="L53" s="29" t="s">
        <v>17</v>
      </c>
    </row>
    <row r="54" customHeight="1" spans="1:12">
      <c r="A54" s="4">
        <v>40</v>
      </c>
      <c r="B54" s="4">
        <v>53</v>
      </c>
      <c r="C54" s="31">
        <v>45536</v>
      </c>
      <c r="D54" s="32" t="s">
        <v>87</v>
      </c>
      <c r="E54" s="33">
        <v>3</v>
      </c>
      <c r="F54" s="32" t="s">
        <v>719</v>
      </c>
      <c r="G54" s="33">
        <v>5</v>
      </c>
      <c r="H54" s="18" t="s">
        <v>49</v>
      </c>
      <c r="I54" s="6" t="s">
        <v>846</v>
      </c>
      <c r="J54" s="48" t="s">
        <v>17</v>
      </c>
      <c r="K54" s="49" t="s">
        <v>16</v>
      </c>
      <c r="L54" s="29" t="s">
        <v>17</v>
      </c>
    </row>
    <row r="55" customHeight="1" spans="1:12">
      <c r="A55" s="4">
        <v>41</v>
      </c>
      <c r="B55" s="4">
        <v>54</v>
      </c>
      <c r="C55" s="31">
        <v>45536</v>
      </c>
      <c r="D55" s="32" t="s">
        <v>87</v>
      </c>
      <c r="E55" s="33">
        <v>3</v>
      </c>
      <c r="F55" s="32" t="s">
        <v>188</v>
      </c>
      <c r="G55" s="33">
        <v>57</v>
      </c>
      <c r="H55" s="18" t="s">
        <v>49</v>
      </c>
      <c r="I55" s="32" t="s">
        <v>860</v>
      </c>
      <c r="J55" s="48" t="s">
        <v>17</v>
      </c>
      <c r="K55" s="49" t="s">
        <v>16</v>
      </c>
      <c r="L55" s="29" t="s">
        <v>17</v>
      </c>
    </row>
    <row r="56" customHeight="1" spans="1:12">
      <c r="A56" s="4">
        <v>42</v>
      </c>
      <c r="B56" s="4">
        <v>55</v>
      </c>
      <c r="C56" s="31">
        <v>45536</v>
      </c>
      <c r="D56" s="32" t="s">
        <v>87</v>
      </c>
      <c r="E56" s="33">
        <v>3</v>
      </c>
      <c r="F56" s="32" t="s">
        <v>191</v>
      </c>
      <c r="G56" s="33">
        <v>45</v>
      </c>
      <c r="H56" s="18" t="s">
        <v>53</v>
      </c>
      <c r="I56" s="6" t="s">
        <v>861</v>
      </c>
      <c r="J56" s="48" t="s">
        <v>17</v>
      </c>
      <c r="K56" s="49" t="s">
        <v>16</v>
      </c>
      <c r="L56" s="29" t="s">
        <v>17</v>
      </c>
    </row>
    <row r="57" customHeight="1" spans="1:12">
      <c r="A57" s="4">
        <v>43</v>
      </c>
      <c r="B57" s="4">
        <v>56</v>
      </c>
      <c r="C57" s="38">
        <v>45536</v>
      </c>
      <c r="D57" s="39" t="s">
        <v>87</v>
      </c>
      <c r="E57" s="40">
        <v>3</v>
      </c>
      <c r="F57" s="39" t="s">
        <v>194</v>
      </c>
      <c r="G57" s="40">
        <v>75</v>
      </c>
      <c r="H57" s="21" t="s">
        <v>27</v>
      </c>
      <c r="I57" s="8" t="s">
        <v>862</v>
      </c>
      <c r="J57" s="55" t="s">
        <v>17</v>
      </c>
      <c r="K57" s="53" t="s">
        <v>16</v>
      </c>
      <c r="L57" s="29" t="s">
        <v>17</v>
      </c>
    </row>
    <row r="58" customHeight="1" spans="1:12">
      <c r="A58" s="4">
        <v>44</v>
      </c>
      <c r="B58" s="4">
        <v>57</v>
      </c>
      <c r="C58" s="31">
        <v>45536</v>
      </c>
      <c r="D58" s="32" t="s">
        <v>87</v>
      </c>
      <c r="E58" s="33">
        <v>3</v>
      </c>
      <c r="F58" s="32" t="s">
        <v>23</v>
      </c>
      <c r="G58" s="33">
        <v>75</v>
      </c>
      <c r="H58" s="18" t="s">
        <v>73</v>
      </c>
      <c r="I58" s="6" t="s">
        <v>829</v>
      </c>
      <c r="J58" s="56" t="s">
        <v>36</v>
      </c>
      <c r="K58" s="49" t="s">
        <v>16</v>
      </c>
      <c r="L58" s="29" t="s">
        <v>17</v>
      </c>
    </row>
    <row r="59" customHeight="1" spans="1:12">
      <c r="A59" s="4">
        <v>44</v>
      </c>
      <c r="B59" s="4">
        <v>58</v>
      </c>
      <c r="C59" s="31">
        <v>45536</v>
      </c>
      <c r="D59" s="32" t="s">
        <v>87</v>
      </c>
      <c r="E59" s="33">
        <v>3</v>
      </c>
      <c r="F59" s="32" t="s">
        <v>29</v>
      </c>
      <c r="G59" s="33">
        <v>17</v>
      </c>
      <c r="H59" s="18" t="s">
        <v>73</v>
      </c>
      <c r="I59" s="6" t="s">
        <v>829</v>
      </c>
      <c r="J59" s="56" t="s">
        <v>36</v>
      </c>
      <c r="K59" s="49" t="s">
        <v>16</v>
      </c>
      <c r="L59" s="29" t="s">
        <v>17</v>
      </c>
    </row>
    <row r="60" customHeight="1" spans="1:12">
      <c r="A60" s="4">
        <v>44</v>
      </c>
      <c r="B60" s="4">
        <v>59</v>
      </c>
      <c r="C60" s="31">
        <v>45536</v>
      </c>
      <c r="D60" s="32" t="s">
        <v>87</v>
      </c>
      <c r="E60" s="33">
        <v>3</v>
      </c>
      <c r="F60" s="32" t="s">
        <v>30</v>
      </c>
      <c r="G60" s="33">
        <v>42</v>
      </c>
      <c r="H60" s="18" t="s">
        <v>73</v>
      </c>
      <c r="I60" s="6" t="s">
        <v>829</v>
      </c>
      <c r="J60" s="56" t="s">
        <v>36</v>
      </c>
      <c r="K60" s="49" t="s">
        <v>16</v>
      </c>
      <c r="L60" s="29" t="s">
        <v>17</v>
      </c>
    </row>
    <row r="61" customHeight="1" spans="1:12">
      <c r="A61" s="4">
        <v>45</v>
      </c>
      <c r="B61" s="4">
        <v>60</v>
      </c>
      <c r="C61" s="31">
        <v>45536</v>
      </c>
      <c r="D61" s="32" t="s">
        <v>87</v>
      </c>
      <c r="E61" s="33">
        <v>3</v>
      </c>
      <c r="F61" s="32" t="s">
        <v>986</v>
      </c>
      <c r="G61" s="33">
        <v>100</v>
      </c>
      <c r="H61" s="18" t="s">
        <v>39</v>
      </c>
      <c r="I61" s="6" t="s">
        <v>849</v>
      </c>
      <c r="J61" s="56" t="s">
        <v>200</v>
      </c>
      <c r="K61" s="49" t="s">
        <v>16</v>
      </c>
      <c r="L61" s="29" t="s">
        <v>17</v>
      </c>
    </row>
    <row r="62" customHeight="1" spans="1:12">
      <c r="A62" s="4">
        <v>45</v>
      </c>
      <c r="B62" s="4">
        <v>61</v>
      </c>
      <c r="C62" s="31">
        <v>45536</v>
      </c>
      <c r="D62" s="32" t="s">
        <v>87</v>
      </c>
      <c r="E62" s="33">
        <v>3</v>
      </c>
      <c r="F62" s="32" t="s">
        <v>988</v>
      </c>
      <c r="G62" s="33">
        <v>7</v>
      </c>
      <c r="H62" s="18" t="s">
        <v>39</v>
      </c>
      <c r="I62" s="6" t="s">
        <v>849</v>
      </c>
      <c r="J62" s="56" t="s">
        <v>200</v>
      </c>
      <c r="K62" s="49" t="s">
        <v>16</v>
      </c>
      <c r="L62" s="29" t="s">
        <v>17</v>
      </c>
    </row>
    <row r="63" customHeight="1" spans="1:12">
      <c r="A63" s="4">
        <v>46</v>
      </c>
      <c r="B63" s="4">
        <v>62</v>
      </c>
      <c r="C63" s="31">
        <v>45536</v>
      </c>
      <c r="D63" s="32" t="s">
        <v>87</v>
      </c>
      <c r="E63" s="33">
        <v>3</v>
      </c>
      <c r="F63" s="32" t="s">
        <v>202</v>
      </c>
      <c r="G63" s="33">
        <v>81</v>
      </c>
      <c r="H63" s="18" t="s">
        <v>39</v>
      </c>
      <c r="I63" s="6" t="s">
        <v>863</v>
      </c>
      <c r="J63" s="56" t="s">
        <v>204</v>
      </c>
      <c r="K63" s="49" t="s">
        <v>16</v>
      </c>
      <c r="L63" s="29" t="s">
        <v>17</v>
      </c>
    </row>
    <row r="64" customHeight="1" spans="1:12">
      <c r="A64" s="4">
        <v>46</v>
      </c>
      <c r="B64" s="4">
        <v>63</v>
      </c>
      <c r="C64" s="43">
        <v>45536</v>
      </c>
      <c r="D64" s="41" t="s">
        <v>87</v>
      </c>
      <c r="E64" s="42">
        <v>3</v>
      </c>
      <c r="F64" s="41" t="s">
        <v>205</v>
      </c>
      <c r="G64" s="42">
        <v>26</v>
      </c>
      <c r="H64" s="22" t="s">
        <v>39</v>
      </c>
      <c r="I64" s="9" t="s">
        <v>863</v>
      </c>
      <c r="J64" s="56" t="s">
        <v>204</v>
      </c>
      <c r="K64" s="54" t="s">
        <v>16</v>
      </c>
      <c r="L64" s="29" t="s">
        <v>17</v>
      </c>
    </row>
    <row r="65" customHeight="1" spans="1:12">
      <c r="A65" s="4">
        <v>47</v>
      </c>
      <c r="B65" s="4">
        <v>64</v>
      </c>
      <c r="C65" s="37">
        <v>45536</v>
      </c>
      <c r="D65" s="35" t="s">
        <v>87</v>
      </c>
      <c r="E65" s="36">
        <v>3</v>
      </c>
      <c r="F65" s="35" t="s">
        <v>989</v>
      </c>
      <c r="G65" s="57">
        <v>4</v>
      </c>
      <c r="H65" s="23" t="s">
        <v>207</v>
      </c>
      <c r="I65" s="7" t="s">
        <v>865</v>
      </c>
      <c r="J65" s="58" t="s">
        <v>17</v>
      </c>
      <c r="K65" s="59" t="s">
        <v>16</v>
      </c>
      <c r="L65" s="29" t="s">
        <v>17</v>
      </c>
    </row>
    <row r="66" customHeight="1" spans="1:12">
      <c r="A66" s="4">
        <v>48</v>
      </c>
      <c r="B66" s="4">
        <v>65</v>
      </c>
      <c r="C66" s="38">
        <v>45537</v>
      </c>
      <c r="D66" s="39" t="s">
        <v>11</v>
      </c>
      <c r="E66" s="40">
        <v>2</v>
      </c>
      <c r="F66" s="39" t="s">
        <v>725</v>
      </c>
      <c r="G66" s="40">
        <v>73</v>
      </c>
      <c r="H66" s="21" t="s">
        <v>27</v>
      </c>
      <c r="I66" s="8" t="s">
        <v>866</v>
      </c>
      <c r="J66" s="55" t="s">
        <v>17</v>
      </c>
      <c r="K66" s="53" t="s">
        <v>115</v>
      </c>
      <c r="L66" s="29" t="s">
        <v>17</v>
      </c>
    </row>
    <row r="67" customHeight="1" spans="1:12">
      <c r="A67" s="4">
        <v>49</v>
      </c>
      <c r="B67" s="4">
        <v>66</v>
      </c>
      <c r="C67" s="31">
        <v>45537</v>
      </c>
      <c r="D67" s="32" t="s">
        <v>11</v>
      </c>
      <c r="E67" s="33">
        <v>2</v>
      </c>
      <c r="F67" s="32" t="s">
        <v>215</v>
      </c>
      <c r="G67" s="33">
        <v>89</v>
      </c>
      <c r="H67" s="18" t="s">
        <v>77</v>
      </c>
      <c r="I67" s="32" t="s">
        <v>844</v>
      </c>
      <c r="J67" s="48" t="s">
        <v>17</v>
      </c>
      <c r="K67" s="49" t="s">
        <v>16</v>
      </c>
      <c r="L67" s="29" t="s">
        <v>17</v>
      </c>
    </row>
    <row r="68" customHeight="1" spans="1:12">
      <c r="A68" s="4">
        <v>50</v>
      </c>
      <c r="B68" s="4">
        <v>67</v>
      </c>
      <c r="C68" s="31">
        <v>45537</v>
      </c>
      <c r="D68" s="32" t="s">
        <v>31</v>
      </c>
      <c r="E68" s="33">
        <v>3</v>
      </c>
      <c r="F68" s="32" t="s">
        <v>218</v>
      </c>
      <c r="G68" s="33">
        <v>414</v>
      </c>
      <c r="H68" s="18" t="s">
        <v>44</v>
      </c>
      <c r="I68" s="32" t="s">
        <v>867</v>
      </c>
      <c r="J68" s="48" t="s">
        <v>36</v>
      </c>
      <c r="K68" s="49" t="s">
        <v>16</v>
      </c>
      <c r="L68" s="29" t="s">
        <v>17</v>
      </c>
    </row>
    <row r="69" customHeight="1" spans="1:12">
      <c r="A69" s="4">
        <v>50</v>
      </c>
      <c r="B69" s="4">
        <v>68</v>
      </c>
      <c r="C69" s="31">
        <v>45537</v>
      </c>
      <c r="D69" s="32" t="s">
        <v>31</v>
      </c>
      <c r="E69" s="33">
        <v>3</v>
      </c>
      <c r="F69" s="32" t="s">
        <v>218</v>
      </c>
      <c r="G69" s="33">
        <v>266</v>
      </c>
      <c r="H69" s="18" t="s">
        <v>58</v>
      </c>
      <c r="I69" s="32" t="s">
        <v>867</v>
      </c>
      <c r="J69" s="48" t="s">
        <v>36</v>
      </c>
      <c r="K69" s="49" t="s">
        <v>16</v>
      </c>
      <c r="L69" s="29" t="s">
        <v>17</v>
      </c>
    </row>
    <row r="70" customHeight="1" spans="1:12">
      <c r="A70" s="4">
        <v>50</v>
      </c>
      <c r="B70" s="4">
        <v>69</v>
      </c>
      <c r="C70" s="31">
        <v>45537</v>
      </c>
      <c r="D70" s="32" t="s">
        <v>31</v>
      </c>
      <c r="E70" s="33">
        <v>3</v>
      </c>
      <c r="F70" s="32" t="s">
        <v>218</v>
      </c>
      <c r="G70" s="33">
        <v>104</v>
      </c>
      <c r="H70" s="18" t="s">
        <v>33</v>
      </c>
      <c r="I70" s="32" t="s">
        <v>867</v>
      </c>
      <c r="J70" s="48" t="s">
        <v>36</v>
      </c>
      <c r="K70" s="49" t="s">
        <v>16</v>
      </c>
      <c r="L70" s="29" t="s">
        <v>17</v>
      </c>
    </row>
    <row r="71" customHeight="1" spans="1:12">
      <c r="A71" s="4">
        <v>51</v>
      </c>
      <c r="B71" s="4">
        <v>70</v>
      </c>
      <c r="C71" s="31">
        <v>45537</v>
      </c>
      <c r="D71" s="32" t="s">
        <v>31</v>
      </c>
      <c r="E71" s="33">
        <v>3</v>
      </c>
      <c r="F71" s="32" t="s">
        <v>224</v>
      </c>
      <c r="G71" s="33">
        <v>115</v>
      </c>
      <c r="H71" s="18" t="s">
        <v>73</v>
      </c>
      <c r="I71" s="32" t="s">
        <v>867</v>
      </c>
      <c r="J71" s="48" t="s">
        <v>97</v>
      </c>
      <c r="K71" s="49" t="s">
        <v>16</v>
      </c>
      <c r="L71" s="29" t="s">
        <v>17</v>
      </c>
    </row>
    <row r="72" customHeight="1" spans="1:12">
      <c r="A72" s="4">
        <v>52</v>
      </c>
      <c r="B72" s="4">
        <v>71</v>
      </c>
      <c r="C72" s="31">
        <v>45537</v>
      </c>
      <c r="D72" s="32" t="s">
        <v>31</v>
      </c>
      <c r="E72" s="33">
        <v>3</v>
      </c>
      <c r="F72" s="32" t="s">
        <v>726</v>
      </c>
      <c r="G72" s="33">
        <v>42</v>
      </c>
      <c r="H72" s="18" t="s">
        <v>73</v>
      </c>
      <c r="I72" s="32" t="s">
        <v>227</v>
      </c>
      <c r="J72" s="48" t="s">
        <v>228</v>
      </c>
      <c r="K72" s="49" t="s">
        <v>16</v>
      </c>
      <c r="L72" s="29" t="s">
        <v>17</v>
      </c>
    </row>
    <row r="73" customHeight="1" spans="1:12">
      <c r="A73" s="4">
        <v>53</v>
      </c>
      <c r="B73" s="4">
        <v>72</v>
      </c>
      <c r="C73" s="31">
        <v>45537</v>
      </c>
      <c r="D73" s="32" t="s">
        <v>31</v>
      </c>
      <c r="E73" s="33">
        <v>3</v>
      </c>
      <c r="F73" s="32" t="s">
        <v>211</v>
      </c>
      <c r="G73" s="33">
        <v>70</v>
      </c>
      <c r="H73" s="18" t="s">
        <v>49</v>
      </c>
      <c r="I73" s="6" t="s">
        <v>868</v>
      </c>
      <c r="J73" s="48" t="s">
        <v>17</v>
      </c>
      <c r="K73" s="49" t="s">
        <v>16</v>
      </c>
      <c r="L73" s="29" t="s">
        <v>17</v>
      </c>
    </row>
    <row r="74" customHeight="1" spans="1:12">
      <c r="A74" s="4">
        <v>53</v>
      </c>
      <c r="B74" s="4">
        <v>73</v>
      </c>
      <c r="C74" s="31">
        <v>45537</v>
      </c>
      <c r="D74" s="32" t="s">
        <v>31</v>
      </c>
      <c r="E74" s="33">
        <v>3</v>
      </c>
      <c r="F74" s="32" t="s">
        <v>211</v>
      </c>
      <c r="G74" s="33">
        <v>43</v>
      </c>
      <c r="H74" s="18" t="s">
        <v>53</v>
      </c>
      <c r="I74" s="6" t="s">
        <v>868</v>
      </c>
      <c r="J74" s="48" t="s">
        <v>17</v>
      </c>
      <c r="K74" s="49" t="s">
        <v>16</v>
      </c>
      <c r="L74" s="29" t="s">
        <v>17</v>
      </c>
    </row>
    <row r="75" customHeight="1" spans="1:12">
      <c r="A75" s="4">
        <v>54</v>
      </c>
      <c r="B75" s="4">
        <v>74</v>
      </c>
      <c r="C75" s="31">
        <v>45537</v>
      </c>
      <c r="D75" s="32" t="s">
        <v>31</v>
      </c>
      <c r="E75" s="33">
        <v>3</v>
      </c>
      <c r="F75" s="32" t="s">
        <v>727</v>
      </c>
      <c r="G75" s="33">
        <v>3</v>
      </c>
      <c r="H75" s="18" t="s">
        <v>53</v>
      </c>
      <c r="I75" s="6" t="s">
        <v>869</v>
      </c>
      <c r="J75" s="48" t="s">
        <v>17</v>
      </c>
      <c r="K75" s="49" t="s">
        <v>16</v>
      </c>
      <c r="L75" s="29" t="s">
        <v>17</v>
      </c>
    </row>
    <row r="76" customHeight="1" spans="1:12">
      <c r="A76" s="4">
        <v>55</v>
      </c>
      <c r="B76" s="4">
        <v>75</v>
      </c>
      <c r="C76" s="31">
        <v>45537</v>
      </c>
      <c r="D76" s="32" t="s">
        <v>31</v>
      </c>
      <c r="E76" s="33">
        <v>3</v>
      </c>
      <c r="F76" s="32" t="s">
        <v>235</v>
      </c>
      <c r="G76" s="33">
        <v>37</v>
      </c>
      <c r="H76" s="18" t="s">
        <v>24</v>
      </c>
      <c r="I76" s="6" t="s">
        <v>870</v>
      </c>
      <c r="J76" s="48" t="s">
        <v>17</v>
      </c>
      <c r="K76" s="49" t="s">
        <v>115</v>
      </c>
      <c r="L76" s="29" t="s">
        <v>17</v>
      </c>
    </row>
    <row r="77" customHeight="1" spans="1:12">
      <c r="A77" s="4">
        <v>56</v>
      </c>
      <c r="B77" s="4">
        <v>76</v>
      </c>
      <c r="C77" s="31">
        <v>45537</v>
      </c>
      <c r="D77" s="32" t="s">
        <v>31</v>
      </c>
      <c r="E77" s="33">
        <v>3</v>
      </c>
      <c r="F77" s="32" t="s">
        <v>238</v>
      </c>
      <c r="G77" s="33">
        <v>66</v>
      </c>
      <c r="H77" s="18" t="s">
        <v>135</v>
      </c>
      <c r="I77" s="6" t="s">
        <v>871</v>
      </c>
      <c r="J77" s="48" t="s">
        <v>17</v>
      </c>
      <c r="K77" s="49" t="s">
        <v>16</v>
      </c>
      <c r="L77" s="29" t="s">
        <v>17</v>
      </c>
    </row>
    <row r="78" customHeight="1" spans="1:12">
      <c r="A78" s="4">
        <v>56</v>
      </c>
      <c r="B78" s="4">
        <v>77</v>
      </c>
      <c r="C78" s="31">
        <v>45537</v>
      </c>
      <c r="D78" s="32" t="s">
        <v>31</v>
      </c>
      <c r="E78" s="33">
        <v>3</v>
      </c>
      <c r="F78" s="32" t="s">
        <v>241</v>
      </c>
      <c r="G78" s="33">
        <v>1</v>
      </c>
      <c r="H78" s="18" t="s">
        <v>135</v>
      </c>
      <c r="I78" s="6" t="s">
        <v>871</v>
      </c>
      <c r="J78" s="48" t="s">
        <v>17</v>
      </c>
      <c r="K78" s="49" t="s">
        <v>16</v>
      </c>
      <c r="L78" s="29" t="s">
        <v>17</v>
      </c>
    </row>
    <row r="79" customHeight="1" spans="1:12">
      <c r="A79" s="4">
        <v>57</v>
      </c>
      <c r="B79" s="4">
        <v>78</v>
      </c>
      <c r="C79" s="31">
        <v>45537</v>
      </c>
      <c r="D79" s="32" t="s">
        <v>31</v>
      </c>
      <c r="E79" s="33">
        <v>3</v>
      </c>
      <c r="F79" s="32" t="s">
        <v>242</v>
      </c>
      <c r="G79" s="33">
        <v>50</v>
      </c>
      <c r="H79" s="18" t="s">
        <v>104</v>
      </c>
      <c r="I79" s="6" t="s">
        <v>872</v>
      </c>
      <c r="J79" s="48" t="s">
        <v>17</v>
      </c>
      <c r="K79" s="49" t="s">
        <v>16</v>
      </c>
      <c r="L79" s="29" t="s">
        <v>17</v>
      </c>
    </row>
    <row r="80" customHeight="1" spans="1:12">
      <c r="A80" s="4">
        <v>57</v>
      </c>
      <c r="B80" s="4">
        <v>79</v>
      </c>
      <c r="C80" s="31">
        <v>45537</v>
      </c>
      <c r="D80" s="32" t="s">
        <v>31</v>
      </c>
      <c r="E80" s="33">
        <v>3</v>
      </c>
      <c r="F80" s="32" t="s">
        <v>245</v>
      </c>
      <c r="G80" s="33">
        <v>74</v>
      </c>
      <c r="H80" s="18" t="s">
        <v>246</v>
      </c>
      <c r="I80" s="6" t="s">
        <v>872</v>
      </c>
      <c r="J80" s="48" t="s">
        <v>17</v>
      </c>
      <c r="K80" s="49" t="s">
        <v>16</v>
      </c>
      <c r="L80" s="29" t="s">
        <v>17</v>
      </c>
    </row>
    <row r="81" customHeight="1" spans="1:12">
      <c r="A81" s="4">
        <v>58</v>
      </c>
      <c r="B81" s="4">
        <v>80</v>
      </c>
      <c r="C81" s="31">
        <v>45537</v>
      </c>
      <c r="D81" s="32" t="s">
        <v>31</v>
      </c>
      <c r="E81" s="33">
        <v>3</v>
      </c>
      <c r="F81" s="32" t="s">
        <v>730</v>
      </c>
      <c r="G81" s="33">
        <v>7</v>
      </c>
      <c r="H81" s="18" t="s">
        <v>39</v>
      </c>
      <c r="I81" s="32" t="s">
        <v>873</v>
      </c>
      <c r="J81" s="48" t="s">
        <v>251</v>
      </c>
      <c r="K81" s="49" t="s">
        <v>16</v>
      </c>
      <c r="L81" s="29" t="s">
        <v>17</v>
      </c>
    </row>
    <row r="82" customHeight="1" spans="1:12">
      <c r="A82" s="4">
        <v>59</v>
      </c>
      <c r="B82" s="4">
        <v>81</v>
      </c>
      <c r="C82" s="31">
        <v>45537</v>
      </c>
      <c r="D82" s="32" t="s">
        <v>31</v>
      </c>
      <c r="E82" s="33">
        <v>3</v>
      </c>
      <c r="F82" s="32" t="s">
        <v>253</v>
      </c>
      <c r="G82" s="33">
        <v>237</v>
      </c>
      <c r="H82" s="18" t="s">
        <v>39</v>
      </c>
      <c r="I82" s="32" t="s">
        <v>874</v>
      </c>
      <c r="J82" s="48" t="s">
        <v>255</v>
      </c>
      <c r="K82" s="49" t="s">
        <v>16</v>
      </c>
      <c r="L82" s="29" t="s">
        <v>17</v>
      </c>
    </row>
    <row r="83" customHeight="1" spans="1:12">
      <c r="A83" s="4">
        <v>60</v>
      </c>
      <c r="B83" s="4">
        <v>82</v>
      </c>
      <c r="C83" s="31">
        <v>45537</v>
      </c>
      <c r="D83" s="32" t="s">
        <v>31</v>
      </c>
      <c r="E83" s="33">
        <v>3</v>
      </c>
      <c r="F83" s="32" t="s">
        <v>732</v>
      </c>
      <c r="G83" s="33">
        <v>14</v>
      </c>
      <c r="H83" s="18" t="s">
        <v>39</v>
      </c>
      <c r="I83" s="32" t="s">
        <v>875</v>
      </c>
      <c r="J83" s="48" t="s">
        <v>259</v>
      </c>
      <c r="K83" s="49" t="s">
        <v>16</v>
      </c>
      <c r="L83" s="29" t="s">
        <v>17</v>
      </c>
    </row>
    <row r="84" customHeight="1" spans="1:12">
      <c r="A84" s="4">
        <v>61</v>
      </c>
      <c r="B84" s="4">
        <v>83</v>
      </c>
      <c r="C84" s="31">
        <v>45537</v>
      </c>
      <c r="D84" s="32" t="s">
        <v>31</v>
      </c>
      <c r="E84" s="33">
        <v>3</v>
      </c>
      <c r="F84" s="32" t="s">
        <v>261</v>
      </c>
      <c r="G84" s="33">
        <v>16</v>
      </c>
      <c r="H84" s="18" t="s">
        <v>104</v>
      </c>
      <c r="I84" s="6" t="s">
        <v>872</v>
      </c>
      <c r="J84" s="48" t="s">
        <v>17</v>
      </c>
      <c r="K84" s="49" t="s">
        <v>16</v>
      </c>
      <c r="L84" s="29" t="s">
        <v>17</v>
      </c>
    </row>
    <row r="85" customHeight="1" spans="1:12">
      <c r="A85" s="4">
        <v>62</v>
      </c>
      <c r="B85" s="4">
        <v>84</v>
      </c>
      <c r="C85" s="31">
        <v>45537</v>
      </c>
      <c r="D85" s="32" t="s">
        <v>31</v>
      </c>
      <c r="E85" s="33">
        <v>3</v>
      </c>
      <c r="F85" s="32" t="s">
        <v>262</v>
      </c>
      <c r="G85" s="33">
        <v>70</v>
      </c>
      <c r="H85" s="18" t="s">
        <v>63</v>
      </c>
      <c r="I85" s="32" t="s">
        <v>876</v>
      </c>
      <c r="J85" s="48" t="s">
        <v>17</v>
      </c>
      <c r="K85" s="49" t="s">
        <v>16</v>
      </c>
      <c r="L85" s="29" t="s">
        <v>17</v>
      </c>
    </row>
    <row r="86" customHeight="1" spans="1:12">
      <c r="A86" s="4">
        <v>62</v>
      </c>
      <c r="B86" s="4">
        <v>85</v>
      </c>
      <c r="C86" s="31">
        <v>45537</v>
      </c>
      <c r="D86" s="32" t="s">
        <v>31</v>
      </c>
      <c r="E86" s="33">
        <v>3</v>
      </c>
      <c r="F86" s="32" t="s">
        <v>262</v>
      </c>
      <c r="G86" s="33">
        <v>21</v>
      </c>
      <c r="H86" s="18" t="s">
        <v>53</v>
      </c>
      <c r="I86" s="32" t="s">
        <v>876</v>
      </c>
      <c r="J86" s="48" t="s">
        <v>17</v>
      </c>
      <c r="K86" s="49" t="s">
        <v>16</v>
      </c>
      <c r="L86" s="29" t="s">
        <v>17</v>
      </c>
    </row>
    <row r="87" customHeight="1" spans="1:12">
      <c r="A87" s="4">
        <v>63</v>
      </c>
      <c r="B87" s="4">
        <v>86</v>
      </c>
      <c r="C87" s="31">
        <v>45537</v>
      </c>
      <c r="D87" s="32" t="s">
        <v>31</v>
      </c>
      <c r="E87" s="33">
        <v>3</v>
      </c>
      <c r="F87" s="32" t="s">
        <v>205</v>
      </c>
      <c r="G87" s="33">
        <v>26</v>
      </c>
      <c r="H87" s="18" t="s">
        <v>266</v>
      </c>
      <c r="I87" s="6" t="s">
        <v>863</v>
      </c>
      <c r="J87" s="48" t="s">
        <v>17</v>
      </c>
      <c r="K87" s="49" t="s">
        <v>16</v>
      </c>
      <c r="L87" s="29" t="s">
        <v>17</v>
      </c>
    </row>
    <row r="88" customHeight="1" spans="1:12">
      <c r="A88" s="4">
        <v>63</v>
      </c>
      <c r="B88" s="4">
        <v>87</v>
      </c>
      <c r="C88" s="31">
        <v>45537</v>
      </c>
      <c r="D88" s="32" t="s">
        <v>31</v>
      </c>
      <c r="E88" s="33">
        <v>3</v>
      </c>
      <c r="F88" s="32" t="s">
        <v>202</v>
      </c>
      <c r="G88" s="33">
        <v>81</v>
      </c>
      <c r="H88" s="18" t="s">
        <v>68</v>
      </c>
      <c r="I88" s="6" t="s">
        <v>863</v>
      </c>
      <c r="J88" s="48" t="s">
        <v>17</v>
      </c>
      <c r="K88" s="49" t="s">
        <v>115</v>
      </c>
      <c r="L88" s="29" t="s">
        <v>17</v>
      </c>
    </row>
    <row r="89" customHeight="1" spans="1:12">
      <c r="A89" s="4">
        <v>64</v>
      </c>
      <c r="B89" s="4">
        <v>88</v>
      </c>
      <c r="C89" s="31">
        <v>45537</v>
      </c>
      <c r="D89" s="35" t="s">
        <v>31</v>
      </c>
      <c r="E89" s="36">
        <v>3</v>
      </c>
      <c r="F89" s="35" t="s">
        <v>734</v>
      </c>
      <c r="G89" s="36">
        <v>55</v>
      </c>
      <c r="H89" s="20" t="s">
        <v>163</v>
      </c>
      <c r="I89" s="35" t="s">
        <v>877</v>
      </c>
      <c r="J89" s="50" t="s">
        <v>17</v>
      </c>
      <c r="K89" s="51" t="s">
        <v>115</v>
      </c>
      <c r="L89" s="29" t="s">
        <v>17</v>
      </c>
    </row>
    <row r="90" customHeight="1" spans="1:12">
      <c r="A90" s="4">
        <v>65</v>
      </c>
      <c r="B90" s="4">
        <v>89</v>
      </c>
      <c r="C90" s="31">
        <v>45537</v>
      </c>
      <c r="D90" s="39" t="s">
        <v>87</v>
      </c>
      <c r="E90" s="40">
        <v>3</v>
      </c>
      <c r="F90" s="39" t="s">
        <v>273</v>
      </c>
      <c r="G90" s="40">
        <v>143</v>
      </c>
      <c r="H90" s="21" t="s">
        <v>44</v>
      </c>
      <c r="I90" s="8" t="s">
        <v>878</v>
      </c>
      <c r="J90" s="55" t="s">
        <v>276</v>
      </c>
      <c r="K90" s="53" t="s">
        <v>16</v>
      </c>
      <c r="L90" s="29" t="s">
        <v>17</v>
      </c>
    </row>
    <row r="91" customHeight="1" spans="1:12">
      <c r="A91" s="4">
        <v>66</v>
      </c>
      <c r="B91" s="4">
        <v>90</v>
      </c>
      <c r="C91" s="31">
        <v>45537</v>
      </c>
      <c r="D91" s="32" t="s">
        <v>87</v>
      </c>
      <c r="E91" s="33">
        <v>3</v>
      </c>
      <c r="F91" s="32" t="s">
        <v>735</v>
      </c>
      <c r="G91" s="33">
        <v>138</v>
      </c>
      <c r="H91" s="18" t="s">
        <v>44</v>
      </c>
      <c r="I91" s="6" t="s">
        <v>844</v>
      </c>
      <c r="J91" s="48" t="s">
        <v>278</v>
      </c>
      <c r="K91" s="49" t="s">
        <v>16</v>
      </c>
      <c r="L91" s="29" t="s">
        <v>17</v>
      </c>
    </row>
    <row r="92" customHeight="1" spans="1:12">
      <c r="A92" s="4">
        <v>67</v>
      </c>
      <c r="B92" s="4">
        <v>91</v>
      </c>
      <c r="C92" s="31">
        <v>45537</v>
      </c>
      <c r="D92" s="32" t="s">
        <v>87</v>
      </c>
      <c r="E92" s="33">
        <v>3</v>
      </c>
      <c r="F92" s="32" t="s">
        <v>736</v>
      </c>
      <c r="G92" s="33">
        <v>109</v>
      </c>
      <c r="H92" s="18" t="s">
        <v>44</v>
      </c>
      <c r="I92" s="6" t="s">
        <v>838</v>
      </c>
      <c r="J92" s="48" t="s">
        <v>280</v>
      </c>
      <c r="K92" s="49" t="s">
        <v>16</v>
      </c>
      <c r="L92" s="29" t="s">
        <v>17</v>
      </c>
    </row>
    <row r="93" customHeight="1" spans="1:12">
      <c r="A93" s="4">
        <v>68</v>
      </c>
      <c r="B93" s="4">
        <v>92</v>
      </c>
      <c r="C93" s="31">
        <v>45537</v>
      </c>
      <c r="D93" s="32" t="s">
        <v>87</v>
      </c>
      <c r="E93" s="33">
        <v>3</v>
      </c>
      <c r="F93" s="32" t="s">
        <v>737</v>
      </c>
      <c r="G93" s="33">
        <v>17</v>
      </c>
      <c r="H93" s="18" t="s">
        <v>13</v>
      </c>
      <c r="I93" s="6" t="s">
        <v>850</v>
      </c>
      <c r="J93" s="48" t="s">
        <v>17</v>
      </c>
      <c r="K93" s="49" t="s">
        <v>16</v>
      </c>
      <c r="L93" s="29" t="s">
        <v>17</v>
      </c>
    </row>
    <row r="94" customHeight="1" spans="1:12">
      <c r="A94" s="4">
        <v>69</v>
      </c>
      <c r="B94" s="4">
        <v>93</v>
      </c>
      <c r="C94" s="31">
        <v>45537</v>
      </c>
      <c r="D94" s="32" t="s">
        <v>87</v>
      </c>
      <c r="E94" s="33">
        <v>3</v>
      </c>
      <c r="F94" s="32" t="s">
        <v>283</v>
      </c>
      <c r="G94" s="33">
        <v>44</v>
      </c>
      <c r="H94" s="18" t="s">
        <v>13</v>
      </c>
      <c r="I94" s="32" t="s">
        <v>879</v>
      </c>
      <c r="J94" s="48" t="s">
        <v>17</v>
      </c>
      <c r="K94" s="49" t="s">
        <v>16</v>
      </c>
      <c r="L94" s="29" t="s">
        <v>17</v>
      </c>
    </row>
    <row r="95" customHeight="1" spans="1:12">
      <c r="A95" s="4">
        <v>70</v>
      </c>
      <c r="B95" s="4">
        <v>94</v>
      </c>
      <c r="C95" s="31">
        <v>45537</v>
      </c>
      <c r="D95" s="32" t="s">
        <v>87</v>
      </c>
      <c r="E95" s="33">
        <v>3</v>
      </c>
      <c r="F95" s="32" t="s">
        <v>286</v>
      </c>
      <c r="G95" s="33">
        <v>208</v>
      </c>
      <c r="H95" s="18" t="s">
        <v>39</v>
      </c>
      <c r="I95" s="32" t="s">
        <v>833</v>
      </c>
      <c r="J95" s="48" t="s">
        <v>36</v>
      </c>
      <c r="K95" s="49" t="s">
        <v>16</v>
      </c>
      <c r="L95" s="29" t="s">
        <v>17</v>
      </c>
    </row>
    <row r="96" customHeight="1" spans="1:12">
      <c r="A96" s="4">
        <v>70</v>
      </c>
      <c r="B96" s="4">
        <v>95</v>
      </c>
      <c r="C96" s="31">
        <v>45537</v>
      </c>
      <c r="D96" s="32" t="s">
        <v>87</v>
      </c>
      <c r="E96" s="33">
        <v>3</v>
      </c>
      <c r="F96" s="32" t="s">
        <v>286</v>
      </c>
      <c r="G96" s="33">
        <v>207</v>
      </c>
      <c r="H96" s="18" t="s">
        <v>58</v>
      </c>
      <c r="I96" s="32" t="s">
        <v>833</v>
      </c>
      <c r="J96" s="48" t="s">
        <v>36</v>
      </c>
      <c r="K96" s="49" t="s">
        <v>16</v>
      </c>
      <c r="L96" s="29" t="s">
        <v>17</v>
      </c>
    </row>
    <row r="97" customHeight="1" spans="1:12">
      <c r="A97" s="4">
        <v>70</v>
      </c>
      <c r="B97" s="4">
        <v>96</v>
      </c>
      <c r="C97" s="31">
        <v>45537</v>
      </c>
      <c r="D97" s="32" t="s">
        <v>87</v>
      </c>
      <c r="E97" s="33">
        <v>3</v>
      </c>
      <c r="F97" s="32" t="s">
        <v>286</v>
      </c>
      <c r="G97" s="33">
        <v>185</v>
      </c>
      <c r="H97" s="18" t="s">
        <v>33</v>
      </c>
      <c r="I97" s="32" t="s">
        <v>833</v>
      </c>
      <c r="J97" s="48" t="s">
        <v>36</v>
      </c>
      <c r="K97" s="49" t="s">
        <v>16</v>
      </c>
      <c r="L97" s="29" t="s">
        <v>17</v>
      </c>
    </row>
    <row r="98" customHeight="1" spans="1:12">
      <c r="A98" s="4">
        <v>70</v>
      </c>
      <c r="B98" s="4">
        <v>97</v>
      </c>
      <c r="C98" s="31">
        <v>45537</v>
      </c>
      <c r="D98" s="32" t="s">
        <v>87</v>
      </c>
      <c r="E98" s="33">
        <v>3</v>
      </c>
      <c r="F98" s="32" t="s">
        <v>286</v>
      </c>
      <c r="G98" s="33">
        <v>184</v>
      </c>
      <c r="H98" s="18" t="s">
        <v>73</v>
      </c>
      <c r="I98" s="32" t="s">
        <v>833</v>
      </c>
      <c r="J98" s="48" t="s">
        <v>36</v>
      </c>
      <c r="K98" s="49" t="s">
        <v>16</v>
      </c>
      <c r="L98" s="29" t="s">
        <v>17</v>
      </c>
    </row>
    <row r="99" customHeight="1" spans="1:12">
      <c r="A99" s="4">
        <v>71</v>
      </c>
      <c r="B99" s="4">
        <v>98</v>
      </c>
      <c r="C99" s="31">
        <v>45537</v>
      </c>
      <c r="D99" s="32" t="s">
        <v>87</v>
      </c>
      <c r="E99" s="33">
        <v>3</v>
      </c>
      <c r="F99" s="32" t="s">
        <v>292</v>
      </c>
      <c r="G99" s="33">
        <v>16</v>
      </c>
      <c r="H99" s="18" t="s">
        <v>77</v>
      </c>
      <c r="I99" s="32" t="s">
        <v>880</v>
      </c>
      <c r="J99" s="48" t="s">
        <v>17</v>
      </c>
      <c r="K99" s="49" t="s">
        <v>16</v>
      </c>
      <c r="L99" s="29" t="s">
        <v>17</v>
      </c>
    </row>
    <row r="100" customHeight="1" spans="1:12">
      <c r="A100" s="4">
        <v>71</v>
      </c>
      <c r="B100" s="4">
        <v>99</v>
      </c>
      <c r="C100" s="31">
        <v>45537</v>
      </c>
      <c r="D100" s="32" t="s">
        <v>87</v>
      </c>
      <c r="E100" s="33">
        <v>3</v>
      </c>
      <c r="F100" s="32" t="s">
        <v>296</v>
      </c>
      <c r="G100" s="33">
        <v>76</v>
      </c>
      <c r="H100" s="18" t="s">
        <v>77</v>
      </c>
      <c r="I100" s="32" t="s">
        <v>880</v>
      </c>
      <c r="J100" s="48" t="s">
        <v>17</v>
      </c>
      <c r="K100" s="49" t="s">
        <v>16</v>
      </c>
      <c r="L100" s="29" t="s">
        <v>17</v>
      </c>
    </row>
    <row r="101" customHeight="1" spans="1:12">
      <c r="A101" s="4">
        <v>72</v>
      </c>
      <c r="B101" s="4">
        <v>100</v>
      </c>
      <c r="C101" s="31">
        <v>45537</v>
      </c>
      <c r="D101" s="32" t="s">
        <v>87</v>
      </c>
      <c r="E101" s="33">
        <v>3</v>
      </c>
      <c r="F101" s="32" t="s">
        <v>211</v>
      </c>
      <c r="G101" s="33">
        <v>73</v>
      </c>
      <c r="H101" s="18" t="s">
        <v>63</v>
      </c>
      <c r="I101" s="6" t="s">
        <v>866</v>
      </c>
      <c r="J101" s="48" t="s">
        <v>17</v>
      </c>
      <c r="K101" s="49" t="s">
        <v>16</v>
      </c>
      <c r="L101" s="29" t="s">
        <v>17</v>
      </c>
    </row>
    <row r="102" customHeight="1" spans="1:12">
      <c r="A102" s="4">
        <v>73</v>
      </c>
      <c r="B102" s="4">
        <v>101</v>
      </c>
      <c r="C102" s="31">
        <v>45537</v>
      </c>
      <c r="D102" s="32" t="s">
        <v>87</v>
      </c>
      <c r="E102" s="33">
        <v>3</v>
      </c>
      <c r="F102" s="32" t="s">
        <v>739</v>
      </c>
      <c r="G102" s="33">
        <v>37</v>
      </c>
      <c r="H102" s="18" t="s">
        <v>104</v>
      </c>
      <c r="I102" s="6" t="s">
        <v>870</v>
      </c>
      <c r="J102" s="48" t="s">
        <v>17</v>
      </c>
      <c r="K102" s="49" t="s">
        <v>16</v>
      </c>
      <c r="L102" s="29" t="s">
        <v>17</v>
      </c>
    </row>
    <row r="103" customHeight="1" spans="1:12">
      <c r="A103" s="4">
        <v>74</v>
      </c>
      <c r="B103" s="4">
        <v>102</v>
      </c>
      <c r="C103" s="31">
        <v>45537</v>
      </c>
      <c r="D103" s="32" t="s">
        <v>87</v>
      </c>
      <c r="E103" s="33">
        <v>3</v>
      </c>
      <c r="F103" s="32" t="s">
        <v>740</v>
      </c>
      <c r="G103" s="33">
        <v>24</v>
      </c>
      <c r="H103" s="18" t="s">
        <v>301</v>
      </c>
      <c r="I103" s="6" t="s">
        <v>881</v>
      </c>
      <c r="J103" s="48" t="s">
        <v>17</v>
      </c>
      <c r="K103" s="49" t="s">
        <v>16</v>
      </c>
      <c r="L103" s="29" t="s">
        <v>17</v>
      </c>
    </row>
    <row r="104" customHeight="1" spans="1:12">
      <c r="A104" s="4">
        <v>75</v>
      </c>
      <c r="B104" s="4">
        <v>103</v>
      </c>
      <c r="C104" s="31">
        <v>45537</v>
      </c>
      <c r="D104" s="32" t="s">
        <v>87</v>
      </c>
      <c r="E104" s="33">
        <v>3</v>
      </c>
      <c r="F104" s="32" t="s">
        <v>304</v>
      </c>
      <c r="G104" s="33">
        <v>70</v>
      </c>
      <c r="H104" s="18" t="s">
        <v>49</v>
      </c>
      <c r="I104" s="32" t="s">
        <v>876</v>
      </c>
      <c r="J104" s="48" t="s">
        <v>17</v>
      </c>
      <c r="K104" s="49" t="s">
        <v>16</v>
      </c>
      <c r="L104" s="29" t="s">
        <v>17</v>
      </c>
    </row>
    <row r="105" customHeight="1" spans="1:12">
      <c r="A105" s="4">
        <v>75</v>
      </c>
      <c r="B105" s="4">
        <v>104</v>
      </c>
      <c r="C105" s="31">
        <v>45537</v>
      </c>
      <c r="D105" s="32" t="s">
        <v>87</v>
      </c>
      <c r="E105" s="33">
        <v>3</v>
      </c>
      <c r="F105" s="32" t="s">
        <v>304</v>
      </c>
      <c r="G105" s="33">
        <v>21</v>
      </c>
      <c r="H105" s="18" t="s">
        <v>53</v>
      </c>
      <c r="I105" s="32" t="s">
        <v>876</v>
      </c>
      <c r="J105" s="48" t="s">
        <v>17</v>
      </c>
      <c r="K105" s="49" t="s">
        <v>16</v>
      </c>
      <c r="L105" s="29" t="s">
        <v>17</v>
      </c>
    </row>
    <row r="106" customHeight="1" spans="1:12">
      <c r="A106" s="4">
        <v>76</v>
      </c>
      <c r="B106" s="4">
        <v>105</v>
      </c>
      <c r="C106" s="31">
        <v>45537</v>
      </c>
      <c r="D106" s="32" t="s">
        <v>87</v>
      </c>
      <c r="E106" s="33">
        <v>3</v>
      </c>
      <c r="F106" s="32" t="s">
        <v>741</v>
      </c>
      <c r="G106" s="33">
        <v>7</v>
      </c>
      <c r="H106" s="18" t="s">
        <v>53</v>
      </c>
      <c r="I106" s="32" t="s">
        <v>882</v>
      </c>
      <c r="J106" s="48" t="s">
        <v>17</v>
      </c>
      <c r="K106" s="49" t="s">
        <v>16</v>
      </c>
      <c r="L106" s="29" t="s">
        <v>17</v>
      </c>
    </row>
    <row r="107" customHeight="1" spans="1:12">
      <c r="A107" s="4">
        <v>77</v>
      </c>
      <c r="B107" s="4">
        <v>106</v>
      </c>
      <c r="C107" s="31">
        <v>45537</v>
      </c>
      <c r="D107" s="32" t="s">
        <v>87</v>
      </c>
      <c r="E107" s="33">
        <v>3</v>
      </c>
      <c r="F107" s="32" t="s">
        <v>269</v>
      </c>
      <c r="G107" s="33">
        <v>55</v>
      </c>
      <c r="H107" s="18" t="s">
        <v>246</v>
      </c>
      <c r="I107" s="32" t="s">
        <v>877</v>
      </c>
      <c r="J107" s="48" t="s">
        <v>17</v>
      </c>
      <c r="K107" s="49" t="s">
        <v>16</v>
      </c>
      <c r="L107" s="29" t="s">
        <v>17</v>
      </c>
    </row>
    <row r="108" customHeight="1" spans="1:12">
      <c r="A108" s="4">
        <v>78</v>
      </c>
      <c r="B108" s="4">
        <v>107</v>
      </c>
      <c r="C108" s="31">
        <v>45537</v>
      </c>
      <c r="D108" s="32" t="s">
        <v>312</v>
      </c>
      <c r="E108" s="33">
        <v>4</v>
      </c>
      <c r="F108" s="32" t="s">
        <v>253</v>
      </c>
      <c r="G108" s="33">
        <v>40</v>
      </c>
      <c r="H108" s="18" t="s">
        <v>266</v>
      </c>
      <c r="I108" s="32" t="s">
        <v>874</v>
      </c>
      <c r="J108" s="48" t="s">
        <v>17</v>
      </c>
      <c r="K108" s="49" t="s">
        <v>115</v>
      </c>
      <c r="L108" s="29" t="s">
        <v>17</v>
      </c>
    </row>
    <row r="109" customHeight="1" spans="1:12">
      <c r="A109" s="4">
        <v>78</v>
      </c>
      <c r="B109" s="4">
        <v>108</v>
      </c>
      <c r="C109" s="31">
        <v>45537</v>
      </c>
      <c r="D109" s="32" t="s">
        <v>312</v>
      </c>
      <c r="E109" s="33">
        <v>4</v>
      </c>
      <c r="F109" s="32" t="s">
        <v>314</v>
      </c>
      <c r="G109" s="33">
        <v>60</v>
      </c>
      <c r="H109" s="18" t="s">
        <v>315</v>
      </c>
      <c r="I109" s="6" t="s">
        <v>890</v>
      </c>
      <c r="J109" s="48" t="s">
        <v>17</v>
      </c>
      <c r="K109" s="49" t="s">
        <v>115</v>
      </c>
      <c r="L109" s="29" t="s">
        <v>17</v>
      </c>
    </row>
    <row r="110" customHeight="1" spans="1:12">
      <c r="A110" s="4">
        <v>78</v>
      </c>
      <c r="B110" s="4">
        <v>109</v>
      </c>
      <c r="C110" s="31">
        <v>45537</v>
      </c>
      <c r="D110" s="32" t="s">
        <v>312</v>
      </c>
      <c r="E110" s="33">
        <v>4</v>
      </c>
      <c r="F110" s="32" t="s">
        <v>314</v>
      </c>
      <c r="G110" s="33">
        <v>50</v>
      </c>
      <c r="H110" s="18" t="s">
        <v>163</v>
      </c>
      <c r="I110" s="6" t="s">
        <v>890</v>
      </c>
      <c r="J110" s="48" t="s">
        <v>17</v>
      </c>
      <c r="K110" s="49" t="s">
        <v>115</v>
      </c>
      <c r="L110" s="29" t="s">
        <v>17</v>
      </c>
    </row>
    <row r="111" customHeight="1" spans="1:12">
      <c r="A111" s="4">
        <v>78</v>
      </c>
      <c r="B111" s="4">
        <v>110</v>
      </c>
      <c r="C111" s="31">
        <v>45537</v>
      </c>
      <c r="D111" s="32" t="s">
        <v>312</v>
      </c>
      <c r="E111" s="33">
        <v>4</v>
      </c>
      <c r="F111" s="32" t="s">
        <v>314</v>
      </c>
      <c r="G111" s="33">
        <v>30</v>
      </c>
      <c r="H111" s="18" t="s">
        <v>24</v>
      </c>
      <c r="I111" s="6" t="s">
        <v>890</v>
      </c>
      <c r="J111" s="48" t="s">
        <v>17</v>
      </c>
      <c r="K111" s="49" t="s">
        <v>115</v>
      </c>
      <c r="L111" s="29" t="s">
        <v>17</v>
      </c>
    </row>
    <row r="112" customHeight="1" spans="1:12">
      <c r="A112" s="4">
        <v>78</v>
      </c>
      <c r="B112" s="4">
        <v>111</v>
      </c>
      <c r="C112" s="37">
        <v>45537</v>
      </c>
      <c r="D112" s="35" t="s">
        <v>312</v>
      </c>
      <c r="E112" s="36">
        <v>4</v>
      </c>
      <c r="F112" s="35" t="s">
        <v>314</v>
      </c>
      <c r="G112" s="36">
        <v>50</v>
      </c>
      <c r="H112" s="20" t="s">
        <v>27</v>
      </c>
      <c r="I112" s="7" t="s">
        <v>890</v>
      </c>
      <c r="J112" s="50" t="s">
        <v>17</v>
      </c>
      <c r="K112" s="51" t="s">
        <v>115</v>
      </c>
      <c r="L112" s="29" t="s">
        <v>17</v>
      </c>
    </row>
    <row r="113" customHeight="1" spans="1:12">
      <c r="A113" s="4">
        <v>79</v>
      </c>
      <c r="B113" s="4">
        <v>112</v>
      </c>
      <c r="C113" s="38">
        <v>45538</v>
      </c>
      <c r="D113" s="39" t="s">
        <v>11</v>
      </c>
      <c r="E113" s="40">
        <v>2</v>
      </c>
      <c r="F113" s="39" t="s">
        <v>321</v>
      </c>
      <c r="G113" s="40">
        <v>55</v>
      </c>
      <c r="H113" s="21" t="s">
        <v>77</v>
      </c>
      <c r="I113" s="8" t="s">
        <v>841</v>
      </c>
      <c r="J113" s="55" t="s">
        <v>17</v>
      </c>
      <c r="K113" s="53" t="s">
        <v>16</v>
      </c>
      <c r="L113" s="29" t="s">
        <v>17</v>
      </c>
    </row>
    <row r="114" customHeight="1" spans="1:12">
      <c r="A114" s="4">
        <v>80</v>
      </c>
      <c r="B114" s="4">
        <v>113</v>
      </c>
      <c r="C114" s="31">
        <v>45538</v>
      </c>
      <c r="D114" s="32" t="s">
        <v>11</v>
      </c>
      <c r="E114" s="33">
        <v>2</v>
      </c>
      <c r="F114" s="32" t="s">
        <v>743</v>
      </c>
      <c r="G114" s="33">
        <v>8</v>
      </c>
      <c r="H114" s="18" t="s">
        <v>77</v>
      </c>
      <c r="I114" s="32" t="s">
        <v>883</v>
      </c>
      <c r="J114" s="48" t="s">
        <v>17</v>
      </c>
      <c r="K114" s="49" t="s">
        <v>16</v>
      </c>
      <c r="L114" s="29" t="s">
        <v>17</v>
      </c>
    </row>
    <row r="115" customHeight="1" spans="1:12">
      <c r="A115" s="4">
        <v>81</v>
      </c>
      <c r="B115" s="4">
        <v>114</v>
      </c>
      <c r="C115" s="31">
        <v>45538</v>
      </c>
      <c r="D115" s="32" t="s">
        <v>11</v>
      </c>
      <c r="E115" s="33">
        <v>2</v>
      </c>
      <c r="F115" s="32" t="s">
        <v>744</v>
      </c>
      <c r="G115" s="33">
        <v>9</v>
      </c>
      <c r="H115" s="18" t="s">
        <v>77</v>
      </c>
      <c r="I115" s="32" t="s">
        <v>839</v>
      </c>
      <c r="J115" s="48" t="s">
        <v>17</v>
      </c>
      <c r="K115" s="49" t="s">
        <v>16</v>
      </c>
      <c r="L115" s="29" t="s">
        <v>17</v>
      </c>
    </row>
    <row r="116" customHeight="1" spans="1:12">
      <c r="A116" s="4">
        <v>82</v>
      </c>
      <c r="B116" s="4">
        <v>115</v>
      </c>
      <c r="C116" s="31">
        <v>45538</v>
      </c>
      <c r="D116" s="32" t="s">
        <v>31</v>
      </c>
      <c r="E116" s="33">
        <v>3</v>
      </c>
      <c r="F116" s="32" t="s">
        <v>745</v>
      </c>
      <c r="G116" s="33">
        <v>19</v>
      </c>
      <c r="H116" s="18" t="s">
        <v>49</v>
      </c>
      <c r="I116" s="6" t="s">
        <v>884</v>
      </c>
      <c r="J116" s="48" t="s">
        <v>17</v>
      </c>
      <c r="K116" s="49" t="s">
        <v>16</v>
      </c>
      <c r="L116" s="29" t="s">
        <v>17</v>
      </c>
    </row>
    <row r="117" customHeight="1" spans="1:12">
      <c r="A117" s="4">
        <v>83</v>
      </c>
      <c r="B117" s="4">
        <v>116</v>
      </c>
      <c r="C117" s="31">
        <v>45538</v>
      </c>
      <c r="D117" s="32" t="s">
        <v>31</v>
      </c>
      <c r="E117" s="33">
        <v>3</v>
      </c>
      <c r="F117" s="32" t="s">
        <v>332</v>
      </c>
      <c r="G117" s="33">
        <v>42</v>
      </c>
      <c r="H117" s="18" t="s">
        <v>49</v>
      </c>
      <c r="I117" s="32" t="s">
        <v>843</v>
      </c>
      <c r="J117" s="48" t="s">
        <v>17</v>
      </c>
      <c r="K117" s="49" t="s">
        <v>16</v>
      </c>
      <c r="L117" s="29" t="s">
        <v>17</v>
      </c>
    </row>
    <row r="118" customHeight="1" spans="1:12">
      <c r="A118" s="4">
        <v>84</v>
      </c>
      <c r="B118" s="4">
        <v>117</v>
      </c>
      <c r="C118" s="31">
        <v>45538</v>
      </c>
      <c r="D118" s="32" t="s">
        <v>31</v>
      </c>
      <c r="E118" s="33">
        <v>3</v>
      </c>
      <c r="F118" s="32" t="s">
        <v>1027</v>
      </c>
      <c r="G118" s="33">
        <v>17</v>
      </c>
      <c r="H118" s="18" t="s">
        <v>13</v>
      </c>
      <c r="I118" s="6" t="s">
        <v>885</v>
      </c>
      <c r="J118" s="56" t="s">
        <v>17</v>
      </c>
      <c r="K118" s="49" t="s">
        <v>16</v>
      </c>
      <c r="L118" s="29" t="s">
        <v>17</v>
      </c>
    </row>
    <row r="119" customHeight="1" spans="1:12">
      <c r="A119" s="4">
        <v>84</v>
      </c>
      <c r="B119" s="4">
        <v>118</v>
      </c>
      <c r="C119" s="31">
        <v>45538</v>
      </c>
      <c r="D119" s="32" t="s">
        <v>31</v>
      </c>
      <c r="E119" s="33">
        <v>3</v>
      </c>
      <c r="F119" s="32" t="s">
        <v>1029</v>
      </c>
      <c r="G119" s="33">
        <v>1</v>
      </c>
      <c r="H119" s="18" t="s">
        <v>13</v>
      </c>
      <c r="I119" s="6" t="s">
        <v>885</v>
      </c>
      <c r="J119" s="60" t="s">
        <v>17</v>
      </c>
      <c r="K119" s="49" t="s">
        <v>16</v>
      </c>
      <c r="L119" s="29" t="s">
        <v>17</v>
      </c>
    </row>
    <row r="120" customHeight="1" spans="1:12">
      <c r="A120" s="4">
        <v>85</v>
      </c>
      <c r="B120" s="4">
        <v>119</v>
      </c>
      <c r="C120" s="31">
        <v>45538</v>
      </c>
      <c r="D120" s="32" t="s">
        <v>31</v>
      </c>
      <c r="E120" s="33">
        <v>3</v>
      </c>
      <c r="F120" s="32" t="s">
        <v>338</v>
      </c>
      <c r="G120" s="33">
        <v>52</v>
      </c>
      <c r="H120" s="18" t="s">
        <v>13</v>
      </c>
      <c r="I120" s="6" t="s">
        <v>886</v>
      </c>
      <c r="J120" s="48" t="s">
        <v>17</v>
      </c>
      <c r="K120" s="49" t="s">
        <v>16</v>
      </c>
      <c r="L120" s="29" t="s">
        <v>17</v>
      </c>
    </row>
    <row r="121" customHeight="1" spans="1:12">
      <c r="A121" s="4">
        <v>86</v>
      </c>
      <c r="B121" s="4">
        <v>120</v>
      </c>
      <c r="C121" s="31">
        <v>45538</v>
      </c>
      <c r="D121" s="32" t="s">
        <v>31</v>
      </c>
      <c r="E121" s="33">
        <v>3</v>
      </c>
      <c r="F121" s="32" t="s">
        <v>747</v>
      </c>
      <c r="G121" s="33">
        <v>46</v>
      </c>
      <c r="H121" s="18" t="s">
        <v>53</v>
      </c>
      <c r="I121" s="6" t="s">
        <v>870</v>
      </c>
      <c r="J121" s="48" t="s">
        <v>17</v>
      </c>
      <c r="K121" s="49" t="s">
        <v>16</v>
      </c>
      <c r="L121" s="29" t="s">
        <v>17</v>
      </c>
    </row>
    <row r="122" customHeight="1" spans="1:12">
      <c r="A122" s="4">
        <v>87</v>
      </c>
      <c r="B122" s="4">
        <v>121</v>
      </c>
      <c r="C122" s="31">
        <v>45538</v>
      </c>
      <c r="D122" s="32" t="s">
        <v>31</v>
      </c>
      <c r="E122" s="33">
        <v>3</v>
      </c>
      <c r="F122" s="32" t="s">
        <v>342</v>
      </c>
      <c r="G122" s="33">
        <v>21</v>
      </c>
      <c r="H122" s="18" t="s">
        <v>24</v>
      </c>
      <c r="I122" s="6" t="s">
        <v>862</v>
      </c>
      <c r="J122" s="48" t="s">
        <v>17</v>
      </c>
      <c r="K122" s="49" t="s">
        <v>115</v>
      </c>
      <c r="L122" s="29" t="s">
        <v>17</v>
      </c>
    </row>
    <row r="123" customHeight="1" spans="1:12">
      <c r="A123" s="4">
        <v>88</v>
      </c>
      <c r="B123" s="4">
        <v>122</v>
      </c>
      <c r="C123" s="31">
        <v>45538</v>
      </c>
      <c r="D123" s="32" t="s">
        <v>31</v>
      </c>
      <c r="E123" s="33">
        <v>3</v>
      </c>
      <c r="F123" s="32" t="s">
        <v>343</v>
      </c>
      <c r="G123" s="33">
        <v>44</v>
      </c>
      <c r="H123" s="18" t="s">
        <v>63</v>
      </c>
      <c r="I123" s="32" t="s">
        <v>887</v>
      </c>
      <c r="J123" s="48" t="s">
        <v>17</v>
      </c>
      <c r="K123" s="49" t="s">
        <v>16</v>
      </c>
      <c r="L123" s="29" t="s">
        <v>17</v>
      </c>
    </row>
    <row r="124" customHeight="1" spans="1:12">
      <c r="A124" s="4">
        <v>89</v>
      </c>
      <c r="B124" s="4">
        <v>123</v>
      </c>
      <c r="C124" s="31">
        <v>45538</v>
      </c>
      <c r="D124" s="32" t="s">
        <v>31</v>
      </c>
      <c r="E124" s="33">
        <v>3</v>
      </c>
      <c r="F124" s="32" t="s">
        <v>347</v>
      </c>
      <c r="G124" s="33">
        <v>114</v>
      </c>
      <c r="H124" s="18" t="s">
        <v>73</v>
      </c>
      <c r="I124" s="6" t="s">
        <v>888</v>
      </c>
      <c r="J124" s="48" t="s">
        <v>36</v>
      </c>
      <c r="K124" s="49" t="s">
        <v>16</v>
      </c>
      <c r="L124" s="29" t="s">
        <v>17</v>
      </c>
    </row>
    <row r="125" customHeight="1" spans="1:12">
      <c r="A125" s="4">
        <v>89</v>
      </c>
      <c r="B125" s="4">
        <v>124</v>
      </c>
      <c r="C125" s="31">
        <v>45538</v>
      </c>
      <c r="D125" s="32" t="s">
        <v>31</v>
      </c>
      <c r="E125" s="33">
        <v>3</v>
      </c>
      <c r="F125" s="32" t="s">
        <v>350</v>
      </c>
      <c r="G125" s="33">
        <v>37</v>
      </c>
      <c r="H125" s="18" t="s">
        <v>73</v>
      </c>
      <c r="I125" s="6" t="s">
        <v>888</v>
      </c>
      <c r="J125" s="48" t="s">
        <v>36</v>
      </c>
      <c r="K125" s="49" t="s">
        <v>16</v>
      </c>
      <c r="L125" s="29" t="s">
        <v>17</v>
      </c>
    </row>
    <row r="126" customHeight="1" spans="1:12">
      <c r="A126" s="4">
        <v>90</v>
      </c>
      <c r="B126" s="4">
        <v>125</v>
      </c>
      <c r="C126" s="31">
        <v>45538</v>
      </c>
      <c r="D126" s="32" t="s">
        <v>31</v>
      </c>
      <c r="E126" s="33">
        <v>3</v>
      </c>
      <c r="F126" s="32" t="s">
        <v>351</v>
      </c>
      <c r="G126" s="33">
        <v>49</v>
      </c>
      <c r="H126" s="18" t="s">
        <v>315</v>
      </c>
      <c r="I126" s="6" t="s">
        <v>889</v>
      </c>
      <c r="J126" s="48" t="s">
        <v>17</v>
      </c>
      <c r="K126" s="49" t="s">
        <v>16</v>
      </c>
      <c r="L126" s="29" t="s">
        <v>17</v>
      </c>
    </row>
    <row r="127" customHeight="1" spans="1:12">
      <c r="A127" s="4">
        <v>91</v>
      </c>
      <c r="B127" s="4">
        <v>126</v>
      </c>
      <c r="C127" s="31">
        <v>45538</v>
      </c>
      <c r="D127" s="32" t="s">
        <v>31</v>
      </c>
      <c r="E127" s="33">
        <v>3</v>
      </c>
      <c r="F127" s="32" t="s">
        <v>353</v>
      </c>
      <c r="G127" s="33">
        <v>115</v>
      </c>
      <c r="H127" s="18" t="s">
        <v>33</v>
      </c>
      <c r="I127" s="6" t="s">
        <v>890</v>
      </c>
      <c r="J127" s="48" t="s">
        <v>97</v>
      </c>
      <c r="K127" s="49" t="s">
        <v>16</v>
      </c>
      <c r="L127" s="29" t="s">
        <v>17</v>
      </c>
    </row>
    <row r="128" customHeight="1" spans="1:12">
      <c r="A128" s="4">
        <v>92</v>
      </c>
      <c r="B128" s="4">
        <v>127</v>
      </c>
      <c r="C128" s="31">
        <v>45538</v>
      </c>
      <c r="D128" s="35" t="s">
        <v>31</v>
      </c>
      <c r="E128" s="36">
        <v>3</v>
      </c>
      <c r="F128" s="35" t="s">
        <v>751</v>
      </c>
      <c r="G128" s="36">
        <v>49</v>
      </c>
      <c r="H128" s="20" t="s">
        <v>33</v>
      </c>
      <c r="I128" s="35" t="s">
        <v>877</v>
      </c>
      <c r="J128" s="50" t="s">
        <v>356</v>
      </c>
      <c r="K128" s="51" t="s">
        <v>16</v>
      </c>
      <c r="L128" s="29" t="s">
        <v>17</v>
      </c>
    </row>
    <row r="129" customHeight="1" spans="1:12">
      <c r="A129" s="4">
        <v>93</v>
      </c>
      <c r="B129" s="4">
        <v>128</v>
      </c>
      <c r="C129" s="31">
        <v>45538</v>
      </c>
      <c r="D129" s="39" t="s">
        <v>80</v>
      </c>
      <c r="E129" s="40">
        <v>2</v>
      </c>
      <c r="F129" s="39" t="s">
        <v>338</v>
      </c>
      <c r="G129" s="40">
        <v>52</v>
      </c>
      <c r="H129" s="21" t="s">
        <v>163</v>
      </c>
      <c r="I129" s="8" t="s">
        <v>886</v>
      </c>
      <c r="J129" s="55" t="s">
        <v>17</v>
      </c>
      <c r="K129" s="53" t="s">
        <v>115</v>
      </c>
      <c r="L129" s="29" t="s">
        <v>17</v>
      </c>
    </row>
    <row r="130" customHeight="1" spans="1:12">
      <c r="A130" s="4">
        <v>94</v>
      </c>
      <c r="B130" s="4">
        <v>129</v>
      </c>
      <c r="C130" s="31">
        <v>45538</v>
      </c>
      <c r="D130" s="32" t="s">
        <v>80</v>
      </c>
      <c r="E130" s="33">
        <v>2</v>
      </c>
      <c r="F130" s="32" t="s">
        <v>358</v>
      </c>
      <c r="G130" s="33">
        <v>173</v>
      </c>
      <c r="H130" s="18" t="s">
        <v>58</v>
      </c>
      <c r="I130" s="32" t="s">
        <v>891</v>
      </c>
      <c r="J130" s="48" t="s">
        <v>173</v>
      </c>
      <c r="K130" s="49" t="s">
        <v>16</v>
      </c>
      <c r="L130" s="29" t="s">
        <v>17</v>
      </c>
    </row>
    <row r="131" customHeight="1" spans="1:12">
      <c r="A131" s="4">
        <v>95</v>
      </c>
      <c r="B131" s="4">
        <v>130</v>
      </c>
      <c r="C131" s="31">
        <v>45538</v>
      </c>
      <c r="D131" s="32" t="s">
        <v>80</v>
      </c>
      <c r="E131" s="33">
        <v>2</v>
      </c>
      <c r="F131" s="32" t="s">
        <v>753</v>
      </c>
      <c r="G131" s="33">
        <v>22</v>
      </c>
      <c r="H131" s="18" t="s">
        <v>58</v>
      </c>
      <c r="I131" s="32" t="s">
        <v>828</v>
      </c>
      <c r="J131" s="48" t="s">
        <v>363</v>
      </c>
      <c r="K131" s="49" t="s">
        <v>16</v>
      </c>
      <c r="L131" s="29" t="s">
        <v>17</v>
      </c>
    </row>
    <row r="132" customHeight="1" spans="1:12">
      <c r="A132" s="4">
        <v>96</v>
      </c>
      <c r="B132" s="4">
        <v>131</v>
      </c>
      <c r="C132" s="31">
        <v>45538</v>
      </c>
      <c r="D132" s="32" t="s">
        <v>87</v>
      </c>
      <c r="E132" s="33">
        <v>3</v>
      </c>
      <c r="F132" s="32" t="s">
        <v>365</v>
      </c>
      <c r="G132" s="33">
        <v>83</v>
      </c>
      <c r="H132" s="18" t="s">
        <v>77</v>
      </c>
      <c r="I132" s="6" t="s">
        <v>885</v>
      </c>
      <c r="J132" s="48" t="s">
        <v>17</v>
      </c>
      <c r="K132" s="49" t="s">
        <v>16</v>
      </c>
      <c r="L132" s="29" t="s">
        <v>17</v>
      </c>
    </row>
    <row r="133" customHeight="1" spans="1:12">
      <c r="A133" s="4">
        <v>97</v>
      </c>
      <c r="B133" s="4">
        <v>132</v>
      </c>
      <c r="C133" s="31">
        <v>45538</v>
      </c>
      <c r="D133" s="32" t="s">
        <v>87</v>
      </c>
      <c r="E133" s="33">
        <v>3</v>
      </c>
      <c r="F133" s="32" t="s">
        <v>892</v>
      </c>
      <c r="G133" s="33">
        <v>2</v>
      </c>
      <c r="H133" s="18" t="s">
        <v>77</v>
      </c>
      <c r="I133" s="32" t="s">
        <v>893</v>
      </c>
      <c r="J133" s="48" t="s">
        <v>17</v>
      </c>
      <c r="K133" s="49" t="s">
        <v>16</v>
      </c>
      <c r="L133" s="29" t="s">
        <v>17</v>
      </c>
    </row>
    <row r="134" customHeight="1" spans="1:12">
      <c r="A134" s="4">
        <v>98</v>
      </c>
      <c r="B134" s="4">
        <v>133</v>
      </c>
      <c r="C134" s="31">
        <v>45538</v>
      </c>
      <c r="D134" s="32" t="s">
        <v>87</v>
      </c>
      <c r="E134" s="33">
        <v>3</v>
      </c>
      <c r="F134" s="32" t="s">
        <v>370</v>
      </c>
      <c r="G134" s="33">
        <v>5</v>
      </c>
      <c r="H134" s="18" t="s">
        <v>33</v>
      </c>
      <c r="I134" s="6" t="s">
        <v>866</v>
      </c>
      <c r="J134" s="56" t="s">
        <v>173</v>
      </c>
      <c r="K134" s="49" t="s">
        <v>16</v>
      </c>
      <c r="L134" s="29" t="s">
        <v>17</v>
      </c>
    </row>
    <row r="135" customHeight="1" spans="1:12">
      <c r="A135" s="4">
        <v>98</v>
      </c>
      <c r="B135" s="4">
        <v>134</v>
      </c>
      <c r="C135" s="31">
        <v>45538</v>
      </c>
      <c r="D135" s="32" t="s">
        <v>87</v>
      </c>
      <c r="E135" s="33">
        <v>3</v>
      </c>
      <c r="F135" s="32" t="s">
        <v>372</v>
      </c>
      <c r="G135" s="33">
        <v>121</v>
      </c>
      <c r="H135" s="18" t="s">
        <v>33</v>
      </c>
      <c r="I135" s="6" t="s">
        <v>866</v>
      </c>
      <c r="J135" s="56" t="s">
        <v>173</v>
      </c>
      <c r="K135" s="49" t="s">
        <v>16</v>
      </c>
      <c r="L135" s="29" t="s">
        <v>17</v>
      </c>
    </row>
    <row r="136" customHeight="1" spans="1:12">
      <c r="A136" s="4">
        <v>99</v>
      </c>
      <c r="B136" s="4">
        <v>135</v>
      </c>
      <c r="C136" s="31">
        <v>45538</v>
      </c>
      <c r="D136" s="32" t="s">
        <v>87</v>
      </c>
      <c r="E136" s="33">
        <v>3</v>
      </c>
      <c r="F136" s="32" t="s">
        <v>1037</v>
      </c>
      <c r="G136" s="33">
        <v>146</v>
      </c>
      <c r="H136" s="18" t="s">
        <v>27</v>
      </c>
      <c r="I136" s="6" t="s">
        <v>870</v>
      </c>
      <c r="J136" s="48" t="s">
        <v>17</v>
      </c>
      <c r="K136" s="49" t="s">
        <v>16</v>
      </c>
      <c r="L136" s="29" t="s">
        <v>17</v>
      </c>
    </row>
    <row r="137" customHeight="1" spans="1:12">
      <c r="A137" s="4">
        <v>100</v>
      </c>
      <c r="B137" s="4">
        <v>136</v>
      </c>
      <c r="C137" s="31">
        <v>45538</v>
      </c>
      <c r="D137" s="32" t="s">
        <v>87</v>
      </c>
      <c r="E137" s="33">
        <v>3</v>
      </c>
      <c r="F137" s="32" t="s">
        <v>757</v>
      </c>
      <c r="G137" s="33">
        <v>12</v>
      </c>
      <c r="H137" s="18" t="s">
        <v>13</v>
      </c>
      <c r="I137" s="6" t="s">
        <v>894</v>
      </c>
      <c r="J137" s="48" t="s">
        <v>17</v>
      </c>
      <c r="K137" s="49" t="s">
        <v>16</v>
      </c>
      <c r="L137" s="29" t="s">
        <v>17</v>
      </c>
    </row>
    <row r="138" customHeight="1" spans="1:12">
      <c r="A138" s="4">
        <v>101</v>
      </c>
      <c r="B138" s="4">
        <v>137</v>
      </c>
      <c r="C138" s="31">
        <v>45538</v>
      </c>
      <c r="D138" s="32" t="s">
        <v>87</v>
      </c>
      <c r="E138" s="33">
        <v>3</v>
      </c>
      <c r="F138" s="32" t="s">
        <v>377</v>
      </c>
      <c r="G138" s="33">
        <v>114</v>
      </c>
      <c r="H138" s="18" t="s">
        <v>73</v>
      </c>
      <c r="I138" s="6" t="s">
        <v>888</v>
      </c>
      <c r="J138" s="56" t="s">
        <v>97</v>
      </c>
      <c r="K138" s="49" t="s">
        <v>16</v>
      </c>
      <c r="L138" s="29" t="s">
        <v>17</v>
      </c>
    </row>
    <row r="139" customHeight="1" spans="1:12">
      <c r="A139" s="4">
        <v>101</v>
      </c>
      <c r="B139" s="4">
        <v>138</v>
      </c>
      <c r="C139" s="31">
        <v>45538</v>
      </c>
      <c r="D139" s="32" t="s">
        <v>87</v>
      </c>
      <c r="E139" s="33">
        <v>3</v>
      </c>
      <c r="F139" s="32" t="s">
        <v>379</v>
      </c>
      <c r="G139" s="33">
        <v>3</v>
      </c>
      <c r="H139" s="18" t="s">
        <v>73</v>
      </c>
      <c r="I139" s="6" t="s">
        <v>888</v>
      </c>
      <c r="J139" s="56" t="s">
        <v>97</v>
      </c>
      <c r="K139" s="49" t="s">
        <v>16</v>
      </c>
      <c r="L139" s="29" t="s">
        <v>17</v>
      </c>
    </row>
    <row r="140" customHeight="1" spans="1:12">
      <c r="A140" s="4">
        <v>102</v>
      </c>
      <c r="B140" s="4">
        <v>139</v>
      </c>
      <c r="C140" s="31">
        <v>45538</v>
      </c>
      <c r="D140" s="32" t="s">
        <v>87</v>
      </c>
      <c r="E140" s="33">
        <v>3</v>
      </c>
      <c r="F140" s="32" t="s">
        <v>1040</v>
      </c>
      <c r="G140" s="33">
        <v>17</v>
      </c>
      <c r="H140" s="18" t="s">
        <v>73</v>
      </c>
      <c r="I140" s="6" t="s">
        <v>895</v>
      </c>
      <c r="J140" s="61" t="s">
        <v>382</v>
      </c>
      <c r="K140" s="49" t="s">
        <v>16</v>
      </c>
      <c r="L140" s="29" t="s">
        <v>17</v>
      </c>
    </row>
    <row r="141" customHeight="1" spans="1:12">
      <c r="A141" s="4">
        <v>102</v>
      </c>
      <c r="B141" s="4">
        <v>140</v>
      </c>
      <c r="C141" s="31">
        <v>45538</v>
      </c>
      <c r="D141" s="32" t="s">
        <v>87</v>
      </c>
      <c r="E141" s="33">
        <v>3</v>
      </c>
      <c r="F141" s="32" t="s">
        <v>1041</v>
      </c>
      <c r="G141" s="33">
        <v>7</v>
      </c>
      <c r="H141" s="18" t="s">
        <v>73</v>
      </c>
      <c r="I141" s="6" t="s">
        <v>895</v>
      </c>
      <c r="J141" s="61" t="s">
        <v>382</v>
      </c>
      <c r="K141" s="49" t="s">
        <v>16</v>
      </c>
      <c r="L141" s="29" t="s">
        <v>17</v>
      </c>
    </row>
    <row r="142" customHeight="1" spans="1:12">
      <c r="A142" s="4">
        <v>103</v>
      </c>
      <c r="B142" s="4">
        <v>141</v>
      </c>
      <c r="C142" s="37">
        <v>45538</v>
      </c>
      <c r="D142" s="35" t="s">
        <v>312</v>
      </c>
      <c r="E142" s="36">
        <v>4</v>
      </c>
      <c r="F142" s="35" t="s">
        <v>351</v>
      </c>
      <c r="G142" s="36">
        <v>49</v>
      </c>
      <c r="H142" s="20" t="s">
        <v>315</v>
      </c>
      <c r="I142" s="7" t="s">
        <v>889</v>
      </c>
      <c r="J142" s="50" t="s">
        <v>17</v>
      </c>
      <c r="K142" s="51" t="s">
        <v>115</v>
      </c>
      <c r="L142" s="29" t="s">
        <v>17</v>
      </c>
    </row>
    <row r="143" customHeight="1" spans="1:12">
      <c r="A143" s="4">
        <v>104</v>
      </c>
      <c r="B143" s="4">
        <v>142</v>
      </c>
      <c r="C143" s="38">
        <v>45539</v>
      </c>
      <c r="D143" s="39" t="s">
        <v>11</v>
      </c>
      <c r="E143" s="40">
        <v>2</v>
      </c>
      <c r="F143" s="39" t="s">
        <v>384</v>
      </c>
      <c r="G143" s="40">
        <v>20</v>
      </c>
      <c r="H143" s="21" t="s">
        <v>49</v>
      </c>
      <c r="I143" s="8" t="s">
        <v>896</v>
      </c>
      <c r="J143" s="55" t="s">
        <v>17</v>
      </c>
      <c r="K143" s="53" t="s">
        <v>16</v>
      </c>
      <c r="L143" s="29" t="s">
        <v>17</v>
      </c>
    </row>
    <row r="144" customHeight="1" spans="1:12">
      <c r="A144" s="4">
        <v>105</v>
      </c>
      <c r="B144" s="4">
        <v>143</v>
      </c>
      <c r="C144" s="31">
        <v>45539</v>
      </c>
      <c r="D144" s="32" t="s">
        <v>31</v>
      </c>
      <c r="E144" s="33">
        <v>3</v>
      </c>
      <c r="F144" s="32" t="s">
        <v>388</v>
      </c>
      <c r="G144" s="33">
        <v>36</v>
      </c>
      <c r="H144" s="18" t="s">
        <v>13</v>
      </c>
      <c r="I144" s="6" t="s">
        <v>897</v>
      </c>
      <c r="J144" s="48" t="s">
        <v>17</v>
      </c>
      <c r="K144" s="49" t="s">
        <v>16</v>
      </c>
      <c r="L144" s="29" t="s">
        <v>17</v>
      </c>
    </row>
    <row r="145" customHeight="1" spans="1:12">
      <c r="A145" s="4">
        <v>105</v>
      </c>
      <c r="B145" s="4">
        <v>144</v>
      </c>
      <c r="C145" s="31">
        <v>45539</v>
      </c>
      <c r="D145" s="32" t="s">
        <v>31</v>
      </c>
      <c r="E145" s="33">
        <v>3</v>
      </c>
      <c r="F145" s="32" t="s">
        <v>391</v>
      </c>
      <c r="G145" s="33">
        <v>27</v>
      </c>
      <c r="H145" s="18" t="s">
        <v>13</v>
      </c>
      <c r="I145" s="6" t="s">
        <v>897</v>
      </c>
      <c r="J145" s="48" t="s">
        <v>17</v>
      </c>
      <c r="K145" s="49" t="s">
        <v>16</v>
      </c>
      <c r="L145" s="29" t="s">
        <v>17</v>
      </c>
    </row>
    <row r="146" customHeight="1" spans="1:12">
      <c r="A146" s="4">
        <v>106</v>
      </c>
      <c r="B146" s="4">
        <v>145</v>
      </c>
      <c r="C146" s="31">
        <v>45539</v>
      </c>
      <c r="D146" s="32" t="s">
        <v>31</v>
      </c>
      <c r="E146" s="33">
        <v>3</v>
      </c>
      <c r="F146" s="32" t="s">
        <v>392</v>
      </c>
      <c r="G146" s="33">
        <v>414</v>
      </c>
      <c r="H146" s="18" t="s">
        <v>44</v>
      </c>
      <c r="I146" s="32" t="s">
        <v>898</v>
      </c>
      <c r="J146" s="48" t="s">
        <v>17</v>
      </c>
      <c r="K146" s="49" t="s">
        <v>16</v>
      </c>
      <c r="L146" s="29" t="s">
        <v>17</v>
      </c>
    </row>
    <row r="147" customHeight="1" spans="1:12">
      <c r="A147" s="4">
        <v>106</v>
      </c>
      <c r="B147" s="4">
        <v>146</v>
      </c>
      <c r="C147" s="31">
        <v>45539</v>
      </c>
      <c r="D147" s="32" t="s">
        <v>31</v>
      </c>
      <c r="E147" s="33">
        <v>3</v>
      </c>
      <c r="F147" s="32" t="s">
        <v>396</v>
      </c>
      <c r="G147" s="33">
        <v>217</v>
      </c>
      <c r="H147" s="18" t="s">
        <v>39</v>
      </c>
      <c r="I147" s="32" t="s">
        <v>898</v>
      </c>
      <c r="J147" s="48" t="s">
        <v>17</v>
      </c>
      <c r="K147" s="49" t="s">
        <v>16</v>
      </c>
      <c r="L147" s="29" t="s">
        <v>17</v>
      </c>
    </row>
    <row r="148" customHeight="1" spans="1:12">
      <c r="A148" s="4">
        <v>107</v>
      </c>
      <c r="B148" s="4">
        <v>147</v>
      </c>
      <c r="C148" s="31">
        <v>45539</v>
      </c>
      <c r="D148" s="32" t="s">
        <v>31</v>
      </c>
      <c r="E148" s="33">
        <v>3</v>
      </c>
      <c r="F148" s="32" t="s">
        <v>1046</v>
      </c>
      <c r="G148" s="33">
        <v>11</v>
      </c>
      <c r="H148" s="18" t="s">
        <v>24</v>
      </c>
      <c r="I148" s="6" t="s">
        <v>829</v>
      </c>
      <c r="J148" s="48" t="s">
        <v>17</v>
      </c>
      <c r="K148" s="49" t="s">
        <v>16</v>
      </c>
      <c r="L148" s="29" t="s">
        <v>17</v>
      </c>
    </row>
    <row r="149" customHeight="1" spans="1:12">
      <c r="A149" s="4">
        <v>108</v>
      </c>
      <c r="B149" s="4">
        <v>148</v>
      </c>
      <c r="C149" s="31">
        <v>45539</v>
      </c>
      <c r="D149" s="32" t="s">
        <v>31</v>
      </c>
      <c r="E149" s="33">
        <v>3</v>
      </c>
      <c r="F149" s="32" t="s">
        <v>763</v>
      </c>
      <c r="G149" s="33">
        <v>7</v>
      </c>
      <c r="H149" s="18" t="s">
        <v>77</v>
      </c>
      <c r="I149" s="6" t="s">
        <v>899</v>
      </c>
      <c r="J149" s="48" t="s">
        <v>17</v>
      </c>
      <c r="K149" s="49" t="s">
        <v>16</v>
      </c>
      <c r="L149" s="29" t="s">
        <v>17</v>
      </c>
    </row>
    <row r="150" customHeight="1" spans="1:12">
      <c r="A150" s="4">
        <v>109</v>
      </c>
      <c r="B150" s="4">
        <v>149</v>
      </c>
      <c r="C150" s="31">
        <v>45539</v>
      </c>
      <c r="D150" s="32" t="s">
        <v>31</v>
      </c>
      <c r="E150" s="33">
        <v>3</v>
      </c>
      <c r="F150" s="32" t="s">
        <v>159</v>
      </c>
      <c r="G150" s="33">
        <v>75</v>
      </c>
      <c r="H150" s="18" t="s">
        <v>77</v>
      </c>
      <c r="I150" s="6" t="s">
        <v>853</v>
      </c>
      <c r="J150" s="48" t="s">
        <v>17</v>
      </c>
      <c r="K150" s="49" t="s">
        <v>16</v>
      </c>
      <c r="L150" s="29" t="s">
        <v>17</v>
      </c>
    </row>
    <row r="151" customHeight="1" spans="1:12">
      <c r="A151" s="4">
        <v>110</v>
      </c>
      <c r="B151" s="4">
        <v>150</v>
      </c>
      <c r="C151" s="31">
        <v>45539</v>
      </c>
      <c r="D151" s="32" t="s">
        <v>31</v>
      </c>
      <c r="E151" s="33">
        <v>3</v>
      </c>
      <c r="F151" s="32" t="s">
        <v>402</v>
      </c>
      <c r="G151" s="33">
        <v>83</v>
      </c>
      <c r="H151" s="18" t="s">
        <v>27</v>
      </c>
      <c r="I151" s="32" t="s">
        <v>888</v>
      </c>
      <c r="J151" s="48" t="s">
        <v>17</v>
      </c>
      <c r="K151" s="49" t="s">
        <v>16</v>
      </c>
      <c r="L151" s="29" t="s">
        <v>17</v>
      </c>
    </row>
    <row r="152" customHeight="1" spans="1:12">
      <c r="A152" s="4">
        <v>111</v>
      </c>
      <c r="B152" s="4">
        <v>151</v>
      </c>
      <c r="C152" s="31">
        <v>45539</v>
      </c>
      <c r="D152" s="35" t="s">
        <v>31</v>
      </c>
      <c r="E152" s="36">
        <v>3</v>
      </c>
      <c r="F152" s="35" t="s">
        <v>405</v>
      </c>
      <c r="G152" s="36">
        <v>41</v>
      </c>
      <c r="H152" s="20" t="s">
        <v>266</v>
      </c>
      <c r="I152" s="7" t="s">
        <v>900</v>
      </c>
      <c r="J152" s="50" t="s">
        <v>17</v>
      </c>
      <c r="K152" s="51" t="s">
        <v>16</v>
      </c>
      <c r="L152" s="29" t="s">
        <v>17</v>
      </c>
    </row>
    <row r="153" customHeight="1" spans="1:12">
      <c r="A153" s="4">
        <v>112</v>
      </c>
      <c r="B153" s="4">
        <v>152</v>
      </c>
      <c r="C153" s="31">
        <v>45539</v>
      </c>
      <c r="D153" s="39" t="s">
        <v>87</v>
      </c>
      <c r="E153" s="40">
        <v>3</v>
      </c>
      <c r="F153" s="39" t="s">
        <v>766</v>
      </c>
      <c r="G153" s="40">
        <v>4</v>
      </c>
      <c r="H153" s="21" t="s">
        <v>13</v>
      </c>
      <c r="I153" s="8" t="s">
        <v>901</v>
      </c>
      <c r="J153" s="55" t="s">
        <v>17</v>
      </c>
      <c r="K153" s="53" t="s">
        <v>16</v>
      </c>
      <c r="L153" s="29" t="s">
        <v>17</v>
      </c>
    </row>
    <row r="154" customHeight="1" spans="1:12">
      <c r="A154" s="4">
        <v>113</v>
      </c>
      <c r="B154" s="4">
        <v>153</v>
      </c>
      <c r="C154" s="31">
        <v>45539</v>
      </c>
      <c r="D154" s="32" t="s">
        <v>87</v>
      </c>
      <c r="E154" s="33">
        <v>3</v>
      </c>
      <c r="F154" s="32" t="s">
        <v>411</v>
      </c>
      <c r="G154" s="33">
        <v>19</v>
      </c>
      <c r="H154" s="18" t="s">
        <v>13</v>
      </c>
      <c r="I154" s="32" t="s">
        <v>851</v>
      </c>
      <c r="J154" s="48" t="s">
        <v>17</v>
      </c>
      <c r="K154" s="49" t="s">
        <v>16</v>
      </c>
      <c r="L154" s="29" t="s">
        <v>17</v>
      </c>
    </row>
    <row r="155" customHeight="1" spans="1:12">
      <c r="A155" s="4">
        <v>114</v>
      </c>
      <c r="B155" s="4">
        <v>154</v>
      </c>
      <c r="C155" s="31">
        <v>45539</v>
      </c>
      <c r="D155" s="32" t="s">
        <v>87</v>
      </c>
      <c r="E155" s="33">
        <v>3</v>
      </c>
      <c r="F155" s="32" t="s">
        <v>767</v>
      </c>
      <c r="G155" s="33">
        <v>7</v>
      </c>
      <c r="H155" s="18" t="s">
        <v>13</v>
      </c>
      <c r="I155" s="6" t="s">
        <v>832</v>
      </c>
      <c r="J155" s="48" t="s">
        <v>17</v>
      </c>
      <c r="K155" s="49" t="s">
        <v>16</v>
      </c>
      <c r="L155" s="29" t="s">
        <v>17</v>
      </c>
    </row>
    <row r="156" customHeight="1" spans="1:12">
      <c r="A156" s="4">
        <v>115</v>
      </c>
      <c r="B156" s="4">
        <v>155</v>
      </c>
      <c r="C156" s="31">
        <v>45539</v>
      </c>
      <c r="D156" s="32" t="s">
        <v>87</v>
      </c>
      <c r="E156" s="33">
        <v>3</v>
      </c>
      <c r="F156" s="32" t="s">
        <v>413</v>
      </c>
      <c r="G156" s="33">
        <v>22</v>
      </c>
      <c r="H156" s="18" t="s">
        <v>49</v>
      </c>
      <c r="I156" s="32" t="s">
        <v>827</v>
      </c>
      <c r="J156" s="48" t="s">
        <v>17</v>
      </c>
      <c r="K156" s="49" t="s">
        <v>16</v>
      </c>
      <c r="L156" s="29" t="s">
        <v>17</v>
      </c>
    </row>
    <row r="157" customHeight="1" spans="1:12">
      <c r="A157" s="4">
        <v>116</v>
      </c>
      <c r="B157" s="4">
        <v>156</v>
      </c>
      <c r="C157" s="31">
        <v>45539</v>
      </c>
      <c r="D157" s="32" t="s">
        <v>87</v>
      </c>
      <c r="E157" s="33">
        <v>3</v>
      </c>
      <c r="F157" s="32" t="s">
        <v>768</v>
      </c>
      <c r="G157" s="33">
        <v>7</v>
      </c>
      <c r="H157" s="18" t="s">
        <v>49</v>
      </c>
      <c r="I157" s="32" t="s">
        <v>893</v>
      </c>
      <c r="J157" s="48" t="s">
        <v>17</v>
      </c>
      <c r="K157" s="49" t="s">
        <v>16</v>
      </c>
      <c r="L157" s="29" t="s">
        <v>17</v>
      </c>
    </row>
    <row r="158" customHeight="1" spans="1:12">
      <c r="A158" s="4">
        <v>117</v>
      </c>
      <c r="B158" s="4">
        <v>157</v>
      </c>
      <c r="C158" s="31">
        <v>45539</v>
      </c>
      <c r="D158" s="32" t="s">
        <v>87</v>
      </c>
      <c r="E158" s="33">
        <v>3</v>
      </c>
      <c r="F158" s="32" t="s">
        <v>418</v>
      </c>
      <c r="G158" s="33">
        <v>327</v>
      </c>
      <c r="H158" s="18" t="s">
        <v>44</v>
      </c>
      <c r="I158" s="32" t="s">
        <v>882</v>
      </c>
      <c r="J158" s="48" t="s">
        <v>17</v>
      </c>
      <c r="K158" s="49" t="s">
        <v>16</v>
      </c>
      <c r="L158" s="29" t="s">
        <v>17</v>
      </c>
    </row>
    <row r="159" customHeight="1" spans="1:12">
      <c r="A159" s="4">
        <v>118</v>
      </c>
      <c r="B159" s="4">
        <v>158</v>
      </c>
      <c r="C159" s="31">
        <v>45539</v>
      </c>
      <c r="D159" s="32" t="s">
        <v>87</v>
      </c>
      <c r="E159" s="33">
        <v>3</v>
      </c>
      <c r="F159" s="32" t="s">
        <v>1053</v>
      </c>
      <c r="G159" s="33">
        <v>17</v>
      </c>
      <c r="H159" s="18" t="s">
        <v>24</v>
      </c>
      <c r="I159" s="6" t="s">
        <v>849</v>
      </c>
      <c r="J159" s="48" t="s">
        <v>17</v>
      </c>
      <c r="K159" s="49" t="s">
        <v>16</v>
      </c>
      <c r="L159" s="29" t="s">
        <v>17</v>
      </c>
    </row>
    <row r="160" customHeight="1" spans="1:12">
      <c r="A160" s="4">
        <v>119</v>
      </c>
      <c r="B160" s="4">
        <v>159</v>
      </c>
      <c r="C160" s="31">
        <v>45539</v>
      </c>
      <c r="D160" s="32" t="s">
        <v>87</v>
      </c>
      <c r="E160" s="33">
        <v>3</v>
      </c>
      <c r="F160" s="32" t="s">
        <v>422</v>
      </c>
      <c r="G160" s="33">
        <v>46</v>
      </c>
      <c r="H160" s="18" t="s">
        <v>53</v>
      </c>
      <c r="I160" s="32" t="s">
        <v>894</v>
      </c>
      <c r="J160" s="48" t="s">
        <v>17</v>
      </c>
      <c r="K160" s="49" t="s">
        <v>16</v>
      </c>
      <c r="L160" s="29" t="s">
        <v>17</v>
      </c>
    </row>
    <row r="161" customHeight="1" spans="1:12">
      <c r="A161" s="4">
        <v>120</v>
      </c>
      <c r="B161" s="4">
        <v>160</v>
      </c>
      <c r="C161" s="31">
        <v>45539</v>
      </c>
      <c r="D161" s="32" t="s">
        <v>87</v>
      </c>
      <c r="E161" s="33">
        <v>3</v>
      </c>
      <c r="F161" s="32" t="s">
        <v>770</v>
      </c>
      <c r="G161" s="33">
        <v>13</v>
      </c>
      <c r="H161" s="18" t="s">
        <v>53</v>
      </c>
      <c r="I161" s="6" t="s">
        <v>902</v>
      </c>
      <c r="J161" s="48" t="s">
        <v>17</v>
      </c>
      <c r="K161" s="49" t="s">
        <v>16</v>
      </c>
      <c r="L161" s="29" t="s">
        <v>17</v>
      </c>
    </row>
    <row r="162" customHeight="1" spans="1:12">
      <c r="A162" s="4">
        <v>121</v>
      </c>
      <c r="B162" s="4">
        <v>161</v>
      </c>
      <c r="C162" s="37">
        <v>45539</v>
      </c>
      <c r="D162" s="35" t="s">
        <v>87</v>
      </c>
      <c r="E162" s="36">
        <v>3</v>
      </c>
      <c r="F162" s="35" t="s">
        <v>427</v>
      </c>
      <c r="G162" s="36">
        <v>211</v>
      </c>
      <c r="H162" s="20" t="s">
        <v>39</v>
      </c>
      <c r="I162" s="7" t="s">
        <v>856</v>
      </c>
      <c r="J162" s="50" t="s">
        <v>36</v>
      </c>
      <c r="K162" s="51" t="s">
        <v>16</v>
      </c>
      <c r="L162" s="29" t="s">
        <v>17</v>
      </c>
    </row>
    <row r="163" customHeight="1" spans="1:12">
      <c r="A163" s="4">
        <v>122</v>
      </c>
      <c r="B163" s="4">
        <v>162</v>
      </c>
      <c r="C163" s="38">
        <v>45540</v>
      </c>
      <c r="D163" s="39" t="s">
        <v>11</v>
      </c>
      <c r="E163" s="40">
        <v>2</v>
      </c>
      <c r="F163" s="39" t="s">
        <v>429</v>
      </c>
      <c r="G163" s="40">
        <v>12</v>
      </c>
      <c r="H163" s="21" t="s">
        <v>301</v>
      </c>
      <c r="I163" s="8" t="s">
        <v>859</v>
      </c>
      <c r="J163" s="55" t="s">
        <v>17</v>
      </c>
      <c r="K163" s="53" t="s">
        <v>16</v>
      </c>
      <c r="L163" s="29" t="s">
        <v>17</v>
      </c>
    </row>
    <row r="164" customHeight="1" spans="1:12">
      <c r="A164" s="4">
        <v>123</v>
      </c>
      <c r="B164" s="4">
        <v>163</v>
      </c>
      <c r="C164" s="31">
        <v>45540</v>
      </c>
      <c r="D164" s="32" t="s">
        <v>31</v>
      </c>
      <c r="E164" s="33">
        <v>3</v>
      </c>
      <c r="F164" s="32" t="s">
        <v>432</v>
      </c>
      <c r="G164" s="33">
        <v>55</v>
      </c>
      <c r="H164" s="18" t="s">
        <v>13</v>
      </c>
      <c r="I164" s="32" t="s">
        <v>897</v>
      </c>
      <c r="J164" s="48" t="s">
        <v>17</v>
      </c>
      <c r="K164" s="49" t="s">
        <v>16</v>
      </c>
      <c r="L164" s="29" t="s">
        <v>17</v>
      </c>
    </row>
    <row r="165" customHeight="1" spans="1:12">
      <c r="A165" s="4">
        <v>124</v>
      </c>
      <c r="B165" s="4">
        <v>164</v>
      </c>
      <c r="C165" s="31">
        <v>45540</v>
      </c>
      <c r="D165" s="32" t="s">
        <v>31</v>
      </c>
      <c r="E165" s="33">
        <v>3</v>
      </c>
      <c r="F165" s="32" t="s">
        <v>771</v>
      </c>
      <c r="G165" s="33">
        <v>5</v>
      </c>
      <c r="H165" s="18" t="s">
        <v>13</v>
      </c>
      <c r="I165" s="6" t="s">
        <v>865</v>
      </c>
      <c r="J165" s="48" t="s">
        <v>17</v>
      </c>
      <c r="K165" s="49" t="s">
        <v>16</v>
      </c>
      <c r="L165" s="29" t="s">
        <v>17</v>
      </c>
    </row>
    <row r="166" customHeight="1" spans="1:12">
      <c r="A166" s="4">
        <v>125</v>
      </c>
      <c r="B166" s="4">
        <v>165</v>
      </c>
      <c r="C166" s="31">
        <v>45540</v>
      </c>
      <c r="D166" s="32" t="s">
        <v>31</v>
      </c>
      <c r="E166" s="33">
        <v>3</v>
      </c>
      <c r="F166" s="32" t="s">
        <v>436</v>
      </c>
      <c r="G166" s="33">
        <v>35</v>
      </c>
      <c r="H166" s="18" t="s">
        <v>104</v>
      </c>
      <c r="I166" s="6" t="s">
        <v>885</v>
      </c>
      <c r="J166" s="48" t="s">
        <v>17</v>
      </c>
      <c r="K166" s="49" t="s">
        <v>16</v>
      </c>
      <c r="L166" s="29" t="s">
        <v>17</v>
      </c>
    </row>
    <row r="167" customHeight="1" spans="1:12">
      <c r="A167" s="4">
        <v>126</v>
      </c>
      <c r="B167" s="4">
        <v>166</v>
      </c>
      <c r="C167" s="31">
        <v>45540</v>
      </c>
      <c r="D167" s="32" t="s">
        <v>31</v>
      </c>
      <c r="E167" s="33">
        <v>3</v>
      </c>
      <c r="F167" s="32" t="s">
        <v>438</v>
      </c>
      <c r="G167" s="33">
        <v>25</v>
      </c>
      <c r="H167" s="18" t="s">
        <v>49</v>
      </c>
      <c r="I167" s="32" t="s">
        <v>903</v>
      </c>
      <c r="J167" s="48" t="s">
        <v>17</v>
      </c>
      <c r="K167" s="49" t="s">
        <v>16</v>
      </c>
      <c r="L167" s="29" t="s">
        <v>17</v>
      </c>
    </row>
    <row r="168" customHeight="1" spans="1:12">
      <c r="A168" s="4">
        <v>127</v>
      </c>
      <c r="B168" s="4">
        <v>167</v>
      </c>
      <c r="C168" s="31">
        <v>45540</v>
      </c>
      <c r="D168" s="32" t="s">
        <v>31</v>
      </c>
      <c r="E168" s="33">
        <v>3</v>
      </c>
      <c r="F168" s="32" t="s">
        <v>772</v>
      </c>
      <c r="G168" s="33">
        <v>18</v>
      </c>
      <c r="H168" s="18" t="s">
        <v>49</v>
      </c>
      <c r="I168" s="32" t="s">
        <v>860</v>
      </c>
      <c r="J168" s="48" t="s">
        <v>17</v>
      </c>
      <c r="K168" s="49" t="s">
        <v>16</v>
      </c>
      <c r="L168" s="29" t="s">
        <v>17</v>
      </c>
    </row>
    <row r="169" customHeight="1" spans="1:12">
      <c r="A169" s="4">
        <v>128</v>
      </c>
      <c r="B169" s="4">
        <v>168</v>
      </c>
      <c r="C169" s="31">
        <v>45540</v>
      </c>
      <c r="D169" s="32" t="s">
        <v>31</v>
      </c>
      <c r="E169" s="33">
        <v>3</v>
      </c>
      <c r="F169" s="32" t="s">
        <v>444</v>
      </c>
      <c r="G169" s="33">
        <v>94</v>
      </c>
      <c r="H169" s="18" t="s">
        <v>77</v>
      </c>
      <c r="I169" s="32" t="s">
        <v>904</v>
      </c>
      <c r="J169" s="48" t="s">
        <v>17</v>
      </c>
      <c r="K169" s="49" t="s">
        <v>16</v>
      </c>
      <c r="L169" s="29" t="s">
        <v>17</v>
      </c>
    </row>
    <row r="170" customHeight="1" spans="1:12">
      <c r="A170" s="4">
        <v>129</v>
      </c>
      <c r="B170" s="4">
        <v>169</v>
      </c>
      <c r="C170" s="31">
        <v>45540</v>
      </c>
      <c r="D170" s="32" t="s">
        <v>31</v>
      </c>
      <c r="E170" s="33">
        <v>3</v>
      </c>
      <c r="F170" s="32" t="s">
        <v>448</v>
      </c>
      <c r="G170" s="33">
        <v>119</v>
      </c>
      <c r="H170" s="18" t="s">
        <v>33</v>
      </c>
      <c r="I170" s="32" t="s">
        <v>905</v>
      </c>
      <c r="J170" s="48" t="s">
        <v>36</v>
      </c>
      <c r="K170" s="49" t="s">
        <v>16</v>
      </c>
      <c r="L170" s="29" t="s">
        <v>17</v>
      </c>
    </row>
    <row r="171" customHeight="1" spans="1:12">
      <c r="A171" s="4">
        <v>130</v>
      </c>
      <c r="B171" s="4">
        <v>170</v>
      </c>
      <c r="C171" s="31">
        <v>45540</v>
      </c>
      <c r="D171" s="32" t="s">
        <v>31</v>
      </c>
      <c r="E171" s="33">
        <v>3</v>
      </c>
      <c r="F171" s="32" t="s">
        <v>451</v>
      </c>
      <c r="G171" s="33">
        <v>91</v>
      </c>
      <c r="H171" s="18" t="s">
        <v>73</v>
      </c>
      <c r="I171" s="32" t="s">
        <v>906</v>
      </c>
      <c r="J171" s="48" t="s">
        <v>36</v>
      </c>
      <c r="K171" s="49" t="s">
        <v>16</v>
      </c>
      <c r="L171" s="29" t="s">
        <v>17</v>
      </c>
    </row>
    <row r="172" customHeight="1" spans="1:12">
      <c r="A172" s="4">
        <v>131</v>
      </c>
      <c r="B172" s="4">
        <v>171</v>
      </c>
      <c r="C172" s="31">
        <v>45540</v>
      </c>
      <c r="D172" s="32" t="s">
        <v>31</v>
      </c>
      <c r="E172" s="33">
        <v>3</v>
      </c>
      <c r="F172" s="32" t="s">
        <v>455</v>
      </c>
      <c r="G172" s="33">
        <v>280</v>
      </c>
      <c r="H172" s="18" t="s">
        <v>39</v>
      </c>
      <c r="I172" s="32" t="s">
        <v>907</v>
      </c>
      <c r="J172" s="48" t="s">
        <v>36</v>
      </c>
      <c r="K172" s="49" t="s">
        <v>16</v>
      </c>
      <c r="L172" s="29" t="s">
        <v>17</v>
      </c>
    </row>
    <row r="173" customHeight="1" spans="1:12">
      <c r="A173" s="4">
        <v>132</v>
      </c>
      <c r="B173" s="4">
        <v>172</v>
      </c>
      <c r="C173" s="31">
        <v>45540</v>
      </c>
      <c r="D173" s="32" t="s">
        <v>31</v>
      </c>
      <c r="E173" s="33">
        <v>3</v>
      </c>
      <c r="F173" s="32" t="s">
        <v>773</v>
      </c>
      <c r="G173" s="33">
        <v>51</v>
      </c>
      <c r="H173" s="18" t="s">
        <v>53</v>
      </c>
      <c r="I173" s="6" t="s">
        <v>908</v>
      </c>
      <c r="J173" s="48" t="s">
        <v>17</v>
      </c>
      <c r="K173" s="49" t="s">
        <v>16</v>
      </c>
      <c r="L173" s="29" t="s">
        <v>17</v>
      </c>
    </row>
    <row r="174" customHeight="1" spans="1:12">
      <c r="A174" s="4">
        <v>133</v>
      </c>
      <c r="B174" s="4">
        <v>173</v>
      </c>
      <c r="C174" s="31">
        <v>45540</v>
      </c>
      <c r="D174" s="32" t="s">
        <v>31</v>
      </c>
      <c r="E174" s="33">
        <v>3</v>
      </c>
      <c r="F174" s="32" t="s">
        <v>462</v>
      </c>
      <c r="G174" s="33">
        <v>1</v>
      </c>
      <c r="H174" s="18" t="s">
        <v>68</v>
      </c>
      <c r="I174" s="6" t="s">
        <v>889</v>
      </c>
      <c r="J174" s="48" t="s">
        <v>17</v>
      </c>
      <c r="K174" s="49" t="s">
        <v>16</v>
      </c>
      <c r="L174" s="29" t="s">
        <v>17</v>
      </c>
    </row>
    <row r="175" customHeight="1" spans="1:12">
      <c r="A175" s="4">
        <v>133</v>
      </c>
      <c r="B175" s="4">
        <v>174</v>
      </c>
      <c r="C175" s="31">
        <v>45540</v>
      </c>
      <c r="D175" s="32" t="s">
        <v>31</v>
      </c>
      <c r="E175" s="33">
        <v>3</v>
      </c>
      <c r="F175" s="32" t="s">
        <v>464</v>
      </c>
      <c r="G175" s="33">
        <v>54</v>
      </c>
      <c r="H175" s="18" t="s">
        <v>68</v>
      </c>
      <c r="I175" s="6" t="s">
        <v>889</v>
      </c>
      <c r="J175" s="48" t="s">
        <v>17</v>
      </c>
      <c r="K175" s="49" t="s">
        <v>16</v>
      </c>
      <c r="L175" s="29" t="s">
        <v>17</v>
      </c>
    </row>
    <row r="176" customHeight="1" spans="1:12">
      <c r="A176" s="4">
        <v>134</v>
      </c>
      <c r="B176" s="4">
        <v>175</v>
      </c>
      <c r="C176" s="31">
        <v>45540</v>
      </c>
      <c r="D176" s="32" t="s">
        <v>31</v>
      </c>
      <c r="E176" s="33">
        <v>3</v>
      </c>
      <c r="F176" s="32" t="s">
        <v>465</v>
      </c>
      <c r="G176" s="33">
        <v>30</v>
      </c>
      <c r="H176" s="18" t="s">
        <v>63</v>
      </c>
      <c r="I176" s="6" t="s">
        <v>874</v>
      </c>
      <c r="J176" s="48" t="s">
        <v>17</v>
      </c>
      <c r="K176" s="49" t="s">
        <v>16</v>
      </c>
      <c r="L176" s="29" t="s">
        <v>17</v>
      </c>
    </row>
    <row r="177" customHeight="1" spans="1:12">
      <c r="A177" s="4">
        <v>134</v>
      </c>
      <c r="B177" s="4">
        <v>176</v>
      </c>
      <c r="C177" s="31">
        <v>45540</v>
      </c>
      <c r="D177" s="32" t="s">
        <v>31</v>
      </c>
      <c r="E177" s="33">
        <v>3</v>
      </c>
      <c r="F177" s="32" t="s">
        <v>467</v>
      </c>
      <c r="G177" s="33">
        <v>18</v>
      </c>
      <c r="H177" s="18" t="s">
        <v>63</v>
      </c>
      <c r="I177" s="6" t="s">
        <v>874</v>
      </c>
      <c r="J177" s="48" t="s">
        <v>17</v>
      </c>
      <c r="K177" s="49" t="s">
        <v>16</v>
      </c>
      <c r="L177" s="29" t="s">
        <v>17</v>
      </c>
    </row>
    <row r="178" customHeight="1" spans="1:12">
      <c r="A178" s="4">
        <v>134</v>
      </c>
      <c r="B178" s="4">
        <v>177</v>
      </c>
      <c r="C178" s="31">
        <v>45540</v>
      </c>
      <c r="D178" s="35" t="s">
        <v>31</v>
      </c>
      <c r="E178" s="36">
        <v>3</v>
      </c>
      <c r="F178" s="35" t="s">
        <v>468</v>
      </c>
      <c r="G178" s="36">
        <v>5</v>
      </c>
      <c r="H178" s="20" t="s">
        <v>63</v>
      </c>
      <c r="I178" s="7" t="s">
        <v>874</v>
      </c>
      <c r="J178" s="50" t="s">
        <v>17</v>
      </c>
      <c r="K178" s="51" t="s">
        <v>16</v>
      </c>
      <c r="L178" s="29" t="s">
        <v>17</v>
      </c>
    </row>
    <row r="179" customHeight="1" spans="1:12">
      <c r="A179" s="4">
        <v>135</v>
      </c>
      <c r="B179" s="4">
        <v>178</v>
      </c>
      <c r="C179" s="31">
        <v>45540</v>
      </c>
      <c r="D179" s="39" t="s">
        <v>80</v>
      </c>
      <c r="E179" s="40">
        <v>2</v>
      </c>
      <c r="F179" s="39" t="s">
        <v>432</v>
      </c>
      <c r="G179" s="40">
        <v>55</v>
      </c>
      <c r="H179" s="21" t="s">
        <v>163</v>
      </c>
      <c r="I179" s="39" t="s">
        <v>897</v>
      </c>
      <c r="J179" s="55" t="s">
        <v>17</v>
      </c>
      <c r="K179" s="53" t="s">
        <v>115</v>
      </c>
      <c r="L179" s="29" t="s">
        <v>17</v>
      </c>
    </row>
    <row r="180" customHeight="1" spans="1:12">
      <c r="A180" s="4">
        <v>136</v>
      </c>
      <c r="B180" s="4">
        <v>179</v>
      </c>
      <c r="C180" s="31">
        <v>45540</v>
      </c>
      <c r="D180" s="32" t="s">
        <v>80</v>
      </c>
      <c r="E180" s="33">
        <v>2</v>
      </c>
      <c r="F180" s="32" t="s">
        <v>470</v>
      </c>
      <c r="G180" s="33">
        <v>5</v>
      </c>
      <c r="H180" s="18" t="s">
        <v>49</v>
      </c>
      <c r="I180" s="32" t="s">
        <v>904</v>
      </c>
      <c r="J180" s="48" t="s">
        <v>17</v>
      </c>
      <c r="K180" s="49" t="s">
        <v>16</v>
      </c>
      <c r="L180" s="29" t="s">
        <v>17</v>
      </c>
    </row>
    <row r="181" customHeight="1" spans="1:12">
      <c r="A181" s="4">
        <v>137</v>
      </c>
      <c r="B181" s="4">
        <v>180</v>
      </c>
      <c r="C181" s="31">
        <v>45540</v>
      </c>
      <c r="D181" s="32" t="s">
        <v>80</v>
      </c>
      <c r="E181" s="33">
        <v>2</v>
      </c>
      <c r="F181" s="32" t="s">
        <v>473</v>
      </c>
      <c r="G181" s="33">
        <v>35</v>
      </c>
      <c r="H181" s="18" t="s">
        <v>27</v>
      </c>
      <c r="I181" s="6" t="s">
        <v>858</v>
      </c>
      <c r="J181" s="48" t="s">
        <v>17</v>
      </c>
      <c r="K181" s="49" t="s">
        <v>16</v>
      </c>
      <c r="L181" s="29" t="s">
        <v>17</v>
      </c>
    </row>
    <row r="182" customHeight="1" spans="1:12">
      <c r="A182" s="4">
        <v>137</v>
      </c>
      <c r="B182" s="4">
        <v>181</v>
      </c>
      <c r="C182" s="31">
        <v>45540</v>
      </c>
      <c r="D182" s="32" t="s">
        <v>80</v>
      </c>
      <c r="E182" s="33">
        <v>2</v>
      </c>
      <c r="F182" s="32" t="s">
        <v>475</v>
      </c>
      <c r="G182" s="33">
        <v>32</v>
      </c>
      <c r="H182" s="18" t="s">
        <v>27</v>
      </c>
      <c r="I182" s="6" t="s">
        <v>858</v>
      </c>
      <c r="J182" s="48" t="s">
        <v>17</v>
      </c>
      <c r="K182" s="49" t="s">
        <v>16</v>
      </c>
      <c r="L182" s="29" t="s">
        <v>17</v>
      </c>
    </row>
    <row r="183" customHeight="1" spans="1:12">
      <c r="A183" s="4">
        <v>138</v>
      </c>
      <c r="B183" s="4">
        <v>182</v>
      </c>
      <c r="C183" s="31">
        <v>45540</v>
      </c>
      <c r="D183" s="32" t="s">
        <v>87</v>
      </c>
      <c r="E183" s="33">
        <v>3</v>
      </c>
      <c r="F183" s="32" t="s">
        <v>778</v>
      </c>
      <c r="G183" s="33">
        <v>6</v>
      </c>
      <c r="H183" s="18" t="s">
        <v>33</v>
      </c>
      <c r="I183" s="6" t="s">
        <v>909</v>
      </c>
      <c r="J183" s="48" t="s">
        <v>128</v>
      </c>
      <c r="K183" s="49" t="s">
        <v>16</v>
      </c>
      <c r="L183" s="29" t="s">
        <v>17</v>
      </c>
    </row>
    <row r="184" customHeight="1" spans="1:12">
      <c r="A184" s="4">
        <v>139</v>
      </c>
      <c r="B184" s="4">
        <v>183</v>
      </c>
      <c r="C184" s="31">
        <v>45540</v>
      </c>
      <c r="D184" s="32" t="s">
        <v>87</v>
      </c>
      <c r="E184" s="33">
        <v>3</v>
      </c>
      <c r="F184" s="32" t="s">
        <v>479</v>
      </c>
      <c r="G184" s="33">
        <v>101</v>
      </c>
      <c r="H184" s="18" t="s">
        <v>33</v>
      </c>
      <c r="I184" s="32" t="s">
        <v>880</v>
      </c>
      <c r="J184" s="48" t="s">
        <v>119</v>
      </c>
      <c r="K184" s="49" t="s">
        <v>16</v>
      </c>
      <c r="L184" s="29" t="s">
        <v>17</v>
      </c>
    </row>
    <row r="185" customHeight="1" spans="1:12">
      <c r="A185" s="4">
        <v>140</v>
      </c>
      <c r="B185" s="4">
        <v>184</v>
      </c>
      <c r="C185" s="31">
        <v>45540</v>
      </c>
      <c r="D185" s="32" t="s">
        <v>87</v>
      </c>
      <c r="E185" s="33">
        <v>3</v>
      </c>
      <c r="F185" s="32" t="s">
        <v>481</v>
      </c>
      <c r="G185" s="33">
        <v>29</v>
      </c>
      <c r="H185" s="18" t="s">
        <v>13</v>
      </c>
      <c r="I185" s="6" t="s">
        <v>910</v>
      </c>
      <c r="J185" s="48" t="s">
        <v>17</v>
      </c>
      <c r="K185" s="49" t="s">
        <v>16</v>
      </c>
      <c r="L185" s="29" t="s">
        <v>17</v>
      </c>
    </row>
    <row r="186" customHeight="1" spans="1:12">
      <c r="A186" s="4">
        <v>141</v>
      </c>
      <c r="B186" s="4">
        <v>185</v>
      </c>
      <c r="C186" s="31">
        <v>45540</v>
      </c>
      <c r="D186" s="32" t="s">
        <v>87</v>
      </c>
      <c r="E186" s="33">
        <v>3</v>
      </c>
      <c r="F186" s="32" t="s">
        <v>779</v>
      </c>
      <c r="G186" s="33">
        <v>7</v>
      </c>
      <c r="H186" s="18" t="s">
        <v>13</v>
      </c>
      <c r="I186" s="32" t="s">
        <v>898</v>
      </c>
      <c r="J186" s="48" t="s">
        <v>17</v>
      </c>
      <c r="K186" s="49" t="s">
        <v>16</v>
      </c>
      <c r="L186" s="29" t="s">
        <v>17</v>
      </c>
    </row>
    <row r="187" customHeight="1" spans="1:12">
      <c r="A187" s="4">
        <v>142</v>
      </c>
      <c r="B187" s="4">
        <v>186</v>
      </c>
      <c r="C187" s="31">
        <v>45540</v>
      </c>
      <c r="D187" s="32" t="s">
        <v>87</v>
      </c>
      <c r="E187" s="33">
        <v>3</v>
      </c>
      <c r="F187" s="32" t="s">
        <v>486</v>
      </c>
      <c r="G187" s="33">
        <v>25</v>
      </c>
      <c r="H187" s="18" t="s">
        <v>301</v>
      </c>
      <c r="I187" s="32" t="s">
        <v>903</v>
      </c>
      <c r="J187" s="48" t="s">
        <v>17</v>
      </c>
      <c r="K187" s="49" t="s">
        <v>16</v>
      </c>
      <c r="L187" s="29" t="s">
        <v>17</v>
      </c>
    </row>
    <row r="188" customHeight="1" spans="1:12">
      <c r="A188" s="4">
        <v>143</v>
      </c>
      <c r="B188" s="4">
        <v>187</v>
      </c>
      <c r="C188" s="31">
        <v>45540</v>
      </c>
      <c r="D188" s="32" t="s">
        <v>87</v>
      </c>
      <c r="E188" s="33">
        <v>3</v>
      </c>
      <c r="F188" s="32" t="s">
        <v>489</v>
      </c>
      <c r="G188" s="33">
        <v>164</v>
      </c>
      <c r="H188" s="18" t="s">
        <v>58</v>
      </c>
      <c r="I188" s="32" t="s">
        <v>880</v>
      </c>
      <c r="J188" s="48" t="s">
        <v>36</v>
      </c>
      <c r="K188" s="49" t="s">
        <v>16</v>
      </c>
      <c r="L188" s="29" t="s">
        <v>17</v>
      </c>
    </row>
    <row r="189" customHeight="1" spans="1:12">
      <c r="A189" s="4">
        <v>144</v>
      </c>
      <c r="B189" s="4">
        <v>188</v>
      </c>
      <c r="C189" s="31">
        <v>45540</v>
      </c>
      <c r="D189" s="32" t="s">
        <v>87</v>
      </c>
      <c r="E189" s="33">
        <v>3</v>
      </c>
      <c r="F189" s="32" t="s">
        <v>492</v>
      </c>
      <c r="G189" s="33">
        <v>87</v>
      </c>
      <c r="H189" s="18" t="s">
        <v>77</v>
      </c>
      <c r="I189" s="32" t="s">
        <v>911</v>
      </c>
      <c r="J189" s="48" t="s">
        <v>17</v>
      </c>
      <c r="K189" s="49" t="s">
        <v>16</v>
      </c>
      <c r="L189" s="29" t="s">
        <v>17</v>
      </c>
    </row>
    <row r="190" customHeight="1" spans="1:12">
      <c r="A190" s="4">
        <v>145</v>
      </c>
      <c r="B190" s="4">
        <v>189</v>
      </c>
      <c r="C190" s="31">
        <v>45540</v>
      </c>
      <c r="D190" s="32" t="s">
        <v>87</v>
      </c>
      <c r="E190" s="33">
        <v>3</v>
      </c>
      <c r="F190" s="32" t="s">
        <v>780</v>
      </c>
      <c r="G190" s="33">
        <v>165</v>
      </c>
      <c r="H190" s="18" t="s">
        <v>73</v>
      </c>
      <c r="I190" s="6" t="s">
        <v>912</v>
      </c>
      <c r="J190" s="48" t="s">
        <v>17</v>
      </c>
      <c r="K190" s="49" t="s">
        <v>16</v>
      </c>
      <c r="L190" s="29" t="s">
        <v>17</v>
      </c>
    </row>
    <row r="191" customHeight="1" spans="1:12">
      <c r="A191" s="4">
        <v>146</v>
      </c>
      <c r="B191" s="4">
        <v>190</v>
      </c>
      <c r="C191" s="31">
        <v>45540</v>
      </c>
      <c r="D191" s="32" t="s">
        <v>312</v>
      </c>
      <c r="E191" s="33">
        <v>4</v>
      </c>
      <c r="F191" s="32" t="s">
        <v>499</v>
      </c>
      <c r="G191" s="33">
        <v>21</v>
      </c>
      <c r="H191" s="18" t="s">
        <v>24</v>
      </c>
      <c r="I191" s="6" t="s">
        <v>913</v>
      </c>
      <c r="J191" s="48" t="s">
        <v>17</v>
      </c>
      <c r="K191" s="49" t="s">
        <v>16</v>
      </c>
      <c r="L191" s="29" t="s">
        <v>17</v>
      </c>
    </row>
    <row r="192" customHeight="1" spans="1:12">
      <c r="A192" s="4">
        <v>147</v>
      </c>
      <c r="B192" s="4">
        <v>191</v>
      </c>
      <c r="C192" s="31">
        <v>45540</v>
      </c>
      <c r="D192" s="32" t="s">
        <v>312</v>
      </c>
      <c r="E192" s="33">
        <v>4</v>
      </c>
      <c r="F192" s="32" t="s">
        <v>462</v>
      </c>
      <c r="G192" s="33">
        <v>1</v>
      </c>
      <c r="H192" s="18" t="s">
        <v>68</v>
      </c>
      <c r="I192" s="6" t="s">
        <v>889</v>
      </c>
      <c r="J192" s="48" t="s">
        <v>17</v>
      </c>
      <c r="K192" s="49" t="s">
        <v>115</v>
      </c>
      <c r="L192" s="29" t="s">
        <v>17</v>
      </c>
    </row>
    <row r="193" customHeight="1" spans="1:12">
      <c r="A193" s="4">
        <v>147</v>
      </c>
      <c r="B193" s="4">
        <v>192</v>
      </c>
      <c r="C193" s="37">
        <v>45540</v>
      </c>
      <c r="D193" s="35" t="s">
        <v>312</v>
      </c>
      <c r="E193" s="36">
        <v>4</v>
      </c>
      <c r="F193" s="35" t="s">
        <v>464</v>
      </c>
      <c r="G193" s="36">
        <v>54</v>
      </c>
      <c r="H193" s="20" t="s">
        <v>68</v>
      </c>
      <c r="I193" s="7" t="s">
        <v>889</v>
      </c>
      <c r="J193" s="50" t="s">
        <v>17</v>
      </c>
      <c r="K193" s="51" t="s">
        <v>16</v>
      </c>
      <c r="L193" s="29" t="s">
        <v>17</v>
      </c>
    </row>
    <row r="194" customHeight="1" spans="1:12">
      <c r="A194" s="4">
        <v>148</v>
      </c>
      <c r="B194" s="4">
        <v>193</v>
      </c>
      <c r="C194" s="38">
        <v>45541</v>
      </c>
      <c r="D194" s="39" t="s">
        <v>11</v>
      </c>
      <c r="E194" s="40">
        <v>2</v>
      </c>
      <c r="F194" s="39" t="s">
        <v>502</v>
      </c>
      <c r="G194" s="40">
        <v>27</v>
      </c>
      <c r="H194" s="21" t="s">
        <v>301</v>
      </c>
      <c r="I194" s="39" t="s">
        <v>914</v>
      </c>
      <c r="J194" s="55" t="s">
        <v>17</v>
      </c>
      <c r="K194" s="53" t="s">
        <v>16</v>
      </c>
      <c r="L194" s="29" t="s">
        <v>17</v>
      </c>
    </row>
    <row r="195" customHeight="1" spans="1:12">
      <c r="A195" s="4">
        <v>149</v>
      </c>
      <c r="B195" s="4">
        <v>194</v>
      </c>
      <c r="C195" s="31">
        <v>45541</v>
      </c>
      <c r="D195" s="32" t="s">
        <v>11</v>
      </c>
      <c r="E195" s="33">
        <v>2</v>
      </c>
      <c r="F195" s="32" t="s">
        <v>211</v>
      </c>
      <c r="G195" s="33">
        <v>40</v>
      </c>
      <c r="H195" s="18" t="s">
        <v>24</v>
      </c>
      <c r="I195" s="6" t="s">
        <v>868</v>
      </c>
      <c r="J195" s="48" t="s">
        <v>17</v>
      </c>
      <c r="K195" s="49" t="s">
        <v>115</v>
      </c>
      <c r="L195" s="29" t="s">
        <v>17</v>
      </c>
    </row>
    <row r="196" customHeight="1" spans="1:12">
      <c r="A196" s="4">
        <v>149</v>
      </c>
      <c r="B196" s="4">
        <v>195</v>
      </c>
      <c r="C196" s="31">
        <v>45541</v>
      </c>
      <c r="D196" s="32" t="s">
        <v>11</v>
      </c>
      <c r="E196" s="33">
        <v>2</v>
      </c>
      <c r="F196" s="32" t="s">
        <v>211</v>
      </c>
      <c r="G196" s="33">
        <v>73</v>
      </c>
      <c r="H196" s="18" t="s">
        <v>27</v>
      </c>
      <c r="I196" s="6" t="s">
        <v>868</v>
      </c>
      <c r="J196" s="48" t="s">
        <v>17</v>
      </c>
      <c r="K196" s="49" t="s">
        <v>115</v>
      </c>
      <c r="L196" s="29" t="s">
        <v>17</v>
      </c>
    </row>
    <row r="197" customHeight="1" spans="1:12">
      <c r="A197" s="4">
        <v>150</v>
      </c>
      <c r="B197" s="4">
        <v>196</v>
      </c>
      <c r="C197" s="31">
        <v>45541</v>
      </c>
      <c r="D197" s="32" t="s">
        <v>31</v>
      </c>
      <c r="E197" s="33">
        <v>3</v>
      </c>
      <c r="F197" s="32" t="s">
        <v>508</v>
      </c>
      <c r="G197" s="33">
        <v>64</v>
      </c>
      <c r="H197" s="18" t="s">
        <v>135</v>
      </c>
      <c r="I197" s="32" t="s">
        <v>915</v>
      </c>
      <c r="J197" s="48" t="s">
        <v>17</v>
      </c>
      <c r="K197" s="49" t="s">
        <v>16</v>
      </c>
      <c r="L197" s="29" t="s">
        <v>17</v>
      </c>
    </row>
    <row r="198" customHeight="1" spans="1:12">
      <c r="A198" s="4">
        <v>150</v>
      </c>
      <c r="B198" s="4">
        <v>197</v>
      </c>
      <c r="C198" s="31">
        <v>45541</v>
      </c>
      <c r="D198" s="32" t="s">
        <v>31</v>
      </c>
      <c r="E198" s="33">
        <v>3</v>
      </c>
      <c r="F198" s="32" t="s">
        <v>508</v>
      </c>
      <c r="G198" s="33">
        <v>18</v>
      </c>
      <c r="H198" s="18" t="s">
        <v>246</v>
      </c>
      <c r="I198" s="32" t="s">
        <v>915</v>
      </c>
      <c r="J198" s="48" t="s">
        <v>17</v>
      </c>
      <c r="K198" s="49" t="s">
        <v>16</v>
      </c>
      <c r="L198" s="29" t="s">
        <v>17</v>
      </c>
    </row>
    <row r="199" customHeight="1" spans="1:12">
      <c r="A199" s="4">
        <v>151</v>
      </c>
      <c r="B199" s="4">
        <v>198</v>
      </c>
      <c r="C199" s="31">
        <v>45541</v>
      </c>
      <c r="D199" s="32" t="s">
        <v>31</v>
      </c>
      <c r="E199" s="33">
        <v>3</v>
      </c>
      <c r="F199" s="32" t="s">
        <v>783</v>
      </c>
      <c r="G199" s="33">
        <v>31</v>
      </c>
      <c r="H199" s="18" t="s">
        <v>246</v>
      </c>
      <c r="I199" s="6" t="s">
        <v>916</v>
      </c>
      <c r="J199" s="48" t="s">
        <v>17</v>
      </c>
      <c r="K199" s="49" t="s">
        <v>16</v>
      </c>
      <c r="L199" s="29" t="s">
        <v>17</v>
      </c>
    </row>
    <row r="200" customHeight="1" spans="1:12">
      <c r="A200" s="4">
        <v>151</v>
      </c>
      <c r="B200" s="4">
        <v>199</v>
      </c>
      <c r="C200" s="31">
        <v>45541</v>
      </c>
      <c r="D200" s="32" t="s">
        <v>31</v>
      </c>
      <c r="E200" s="33">
        <v>3</v>
      </c>
      <c r="F200" s="32" t="s">
        <v>783</v>
      </c>
      <c r="G200" s="33">
        <v>58</v>
      </c>
      <c r="H200" s="18" t="s">
        <v>104</v>
      </c>
      <c r="I200" s="6" t="s">
        <v>916</v>
      </c>
      <c r="J200" s="48" t="s">
        <v>17</v>
      </c>
      <c r="K200" s="49" t="s">
        <v>16</v>
      </c>
      <c r="L200" s="29" t="s">
        <v>17</v>
      </c>
    </row>
    <row r="201" customHeight="1" spans="1:12">
      <c r="A201" s="4">
        <v>152</v>
      </c>
      <c r="B201" s="4">
        <v>200</v>
      </c>
      <c r="C201" s="31">
        <v>45541</v>
      </c>
      <c r="D201" s="32" t="s">
        <v>31</v>
      </c>
      <c r="E201" s="33">
        <v>3</v>
      </c>
      <c r="F201" s="32" t="s">
        <v>516</v>
      </c>
      <c r="G201" s="33">
        <v>414</v>
      </c>
      <c r="H201" s="18" t="s">
        <v>44</v>
      </c>
      <c r="I201" s="32" t="s">
        <v>904</v>
      </c>
      <c r="J201" s="48" t="s">
        <v>36</v>
      </c>
      <c r="K201" s="49" t="s">
        <v>16</v>
      </c>
      <c r="L201" s="29" t="s">
        <v>17</v>
      </c>
    </row>
    <row r="202" customHeight="1" spans="1:12">
      <c r="A202" s="4">
        <v>153</v>
      </c>
      <c r="B202" s="4">
        <v>201</v>
      </c>
      <c r="C202" s="31">
        <v>45541</v>
      </c>
      <c r="D202" s="32" t="s">
        <v>31</v>
      </c>
      <c r="E202" s="33">
        <v>3</v>
      </c>
      <c r="F202" s="32" t="s">
        <v>519</v>
      </c>
      <c r="G202" s="33">
        <v>270</v>
      </c>
      <c r="H202" s="18" t="s">
        <v>39</v>
      </c>
      <c r="I202" s="32" t="s">
        <v>904</v>
      </c>
      <c r="J202" s="48" t="s">
        <v>36</v>
      </c>
      <c r="K202" s="49" t="s">
        <v>16</v>
      </c>
      <c r="L202" s="29" t="s">
        <v>17</v>
      </c>
    </row>
    <row r="203" customHeight="1" spans="1:12">
      <c r="A203" s="4">
        <v>153</v>
      </c>
      <c r="B203" s="4">
        <v>202</v>
      </c>
      <c r="C203" s="31">
        <v>45541</v>
      </c>
      <c r="D203" s="32" t="s">
        <v>31</v>
      </c>
      <c r="E203" s="33">
        <v>3</v>
      </c>
      <c r="F203" s="32" t="s">
        <v>519</v>
      </c>
      <c r="G203" s="33">
        <v>187</v>
      </c>
      <c r="H203" s="18" t="s">
        <v>58</v>
      </c>
      <c r="I203" s="32" t="s">
        <v>904</v>
      </c>
      <c r="J203" s="48" t="s">
        <v>522</v>
      </c>
      <c r="K203" s="49" t="s">
        <v>16</v>
      </c>
      <c r="L203" s="29" t="s">
        <v>17</v>
      </c>
    </row>
    <row r="204" customHeight="1" spans="1:12">
      <c r="A204" s="4">
        <v>154</v>
      </c>
      <c r="B204" s="4">
        <v>203</v>
      </c>
      <c r="C204" s="31">
        <v>45541</v>
      </c>
      <c r="D204" s="32" t="s">
        <v>31</v>
      </c>
      <c r="E204" s="33">
        <v>3</v>
      </c>
      <c r="F204" s="32" t="s">
        <v>784</v>
      </c>
      <c r="G204" s="33">
        <v>27</v>
      </c>
      <c r="H204" s="18" t="s">
        <v>58</v>
      </c>
      <c r="I204" s="6" t="s">
        <v>841</v>
      </c>
      <c r="J204" s="48" t="s">
        <v>524</v>
      </c>
      <c r="K204" s="49" t="s">
        <v>16</v>
      </c>
      <c r="L204" s="29" t="s">
        <v>17</v>
      </c>
    </row>
    <row r="205" customHeight="1" spans="1:12">
      <c r="A205" s="4">
        <v>155</v>
      </c>
      <c r="B205" s="4">
        <v>204</v>
      </c>
      <c r="C205" s="31">
        <v>45541</v>
      </c>
      <c r="D205" s="32" t="s">
        <v>31</v>
      </c>
      <c r="E205" s="33">
        <v>3</v>
      </c>
      <c r="F205" s="32" t="s">
        <v>525</v>
      </c>
      <c r="G205" s="33">
        <v>91</v>
      </c>
      <c r="H205" s="18" t="s">
        <v>77</v>
      </c>
      <c r="I205" s="32" t="s">
        <v>828</v>
      </c>
      <c r="J205" s="48" t="s">
        <v>17</v>
      </c>
      <c r="K205" s="49" t="s">
        <v>16</v>
      </c>
      <c r="L205" s="29" t="s">
        <v>17</v>
      </c>
    </row>
    <row r="206" customHeight="1" spans="1:12">
      <c r="A206" s="4">
        <v>156</v>
      </c>
      <c r="B206" s="4">
        <v>205</v>
      </c>
      <c r="C206" s="31">
        <v>45541</v>
      </c>
      <c r="D206" s="32" t="s">
        <v>31</v>
      </c>
      <c r="E206" s="33">
        <v>3</v>
      </c>
      <c r="F206" s="32" t="s">
        <v>528</v>
      </c>
      <c r="G206" s="33">
        <v>173</v>
      </c>
      <c r="H206" s="18" t="s">
        <v>33</v>
      </c>
      <c r="I206" s="32" t="s">
        <v>917</v>
      </c>
      <c r="J206" s="48" t="s">
        <v>36</v>
      </c>
      <c r="K206" s="49" t="s">
        <v>16</v>
      </c>
      <c r="L206" s="29" t="s">
        <v>17</v>
      </c>
    </row>
    <row r="207" customHeight="1" spans="1:12">
      <c r="A207" s="4">
        <v>157</v>
      </c>
      <c r="B207" s="4">
        <v>206</v>
      </c>
      <c r="C207" s="31">
        <v>45541</v>
      </c>
      <c r="D207" s="32" t="s">
        <v>31</v>
      </c>
      <c r="E207" s="33">
        <v>3</v>
      </c>
      <c r="F207" s="32" t="s">
        <v>532</v>
      </c>
      <c r="G207" s="33">
        <v>70</v>
      </c>
      <c r="H207" s="18" t="s">
        <v>13</v>
      </c>
      <c r="I207" s="32" t="s">
        <v>918</v>
      </c>
      <c r="J207" s="48" t="s">
        <v>17</v>
      </c>
      <c r="K207" s="49" t="s">
        <v>16</v>
      </c>
      <c r="L207" s="29" t="s">
        <v>17</v>
      </c>
    </row>
    <row r="208" customHeight="1" spans="1:12">
      <c r="A208" s="4">
        <v>157</v>
      </c>
      <c r="B208" s="4">
        <v>207</v>
      </c>
      <c r="C208" s="31">
        <v>45541</v>
      </c>
      <c r="D208" s="32" t="s">
        <v>31</v>
      </c>
      <c r="E208" s="33">
        <v>3</v>
      </c>
      <c r="F208" s="32" t="s">
        <v>532</v>
      </c>
      <c r="G208" s="33">
        <v>31</v>
      </c>
      <c r="H208" s="18" t="s">
        <v>49</v>
      </c>
      <c r="I208" s="32" t="s">
        <v>918</v>
      </c>
      <c r="J208" s="48" t="s">
        <v>17</v>
      </c>
      <c r="K208" s="49" t="s">
        <v>16</v>
      </c>
      <c r="L208" s="29" t="s">
        <v>17</v>
      </c>
    </row>
    <row r="209" customHeight="1" spans="1:12">
      <c r="A209" s="4">
        <v>158</v>
      </c>
      <c r="B209" s="4">
        <v>208</v>
      </c>
      <c r="C209" s="31">
        <v>45541</v>
      </c>
      <c r="D209" s="32" t="s">
        <v>31</v>
      </c>
      <c r="E209" s="33">
        <v>3</v>
      </c>
      <c r="F209" s="32" t="s">
        <v>785</v>
      </c>
      <c r="G209" s="33">
        <v>13</v>
      </c>
      <c r="H209" s="18" t="s">
        <v>49</v>
      </c>
      <c r="I209" s="32" t="s">
        <v>842</v>
      </c>
      <c r="J209" s="48" t="s">
        <v>17</v>
      </c>
      <c r="K209" s="49" t="s">
        <v>16</v>
      </c>
      <c r="L209" s="29" t="s">
        <v>17</v>
      </c>
    </row>
    <row r="210" customHeight="1" spans="1:12">
      <c r="A210" s="4">
        <v>159</v>
      </c>
      <c r="B210" s="4">
        <v>209</v>
      </c>
      <c r="C210" s="31">
        <v>45541</v>
      </c>
      <c r="D210" s="32" t="s">
        <v>31</v>
      </c>
      <c r="E210" s="33">
        <v>3</v>
      </c>
      <c r="F210" s="32" t="s">
        <v>786</v>
      </c>
      <c r="G210" s="33">
        <v>12</v>
      </c>
      <c r="H210" s="18" t="s">
        <v>49</v>
      </c>
      <c r="I210" s="6" t="s">
        <v>919</v>
      </c>
      <c r="J210" s="48" t="s">
        <v>17</v>
      </c>
      <c r="K210" s="49" t="s">
        <v>16</v>
      </c>
      <c r="L210" s="29" t="s">
        <v>17</v>
      </c>
    </row>
    <row r="211" customHeight="1" spans="1:12">
      <c r="A211" s="4">
        <v>160</v>
      </c>
      <c r="B211" s="4">
        <v>210</v>
      </c>
      <c r="C211" s="31">
        <v>45541</v>
      </c>
      <c r="D211" s="32" t="s">
        <v>31</v>
      </c>
      <c r="E211" s="33">
        <v>3</v>
      </c>
      <c r="F211" s="32" t="s">
        <v>787</v>
      </c>
      <c r="G211" s="33">
        <v>4</v>
      </c>
      <c r="H211" s="18" t="s">
        <v>53</v>
      </c>
      <c r="I211" s="6" t="s">
        <v>918</v>
      </c>
      <c r="J211" s="48" t="s">
        <v>17</v>
      </c>
      <c r="K211" s="49" t="s">
        <v>16</v>
      </c>
      <c r="L211" s="29" t="s">
        <v>17</v>
      </c>
    </row>
    <row r="212" customHeight="1" spans="1:12">
      <c r="A212" s="4">
        <v>161</v>
      </c>
      <c r="B212" s="4">
        <v>211</v>
      </c>
      <c r="C212" s="31">
        <v>45541</v>
      </c>
      <c r="D212" s="32" t="s">
        <v>31</v>
      </c>
      <c r="E212" s="33">
        <v>3</v>
      </c>
      <c r="F212" s="32" t="s">
        <v>542</v>
      </c>
      <c r="G212" s="33">
        <v>50</v>
      </c>
      <c r="H212" s="18" t="s">
        <v>53</v>
      </c>
      <c r="I212" s="6" t="s">
        <v>852</v>
      </c>
      <c r="J212" s="48" t="s">
        <v>17</v>
      </c>
      <c r="K212" s="49" t="s">
        <v>16</v>
      </c>
      <c r="L212" s="29" t="s">
        <v>17</v>
      </c>
    </row>
    <row r="213" customHeight="1" spans="1:12">
      <c r="A213" s="4">
        <v>162</v>
      </c>
      <c r="B213" s="4">
        <v>212</v>
      </c>
      <c r="C213" s="31">
        <v>45541</v>
      </c>
      <c r="D213" s="32" t="s">
        <v>31</v>
      </c>
      <c r="E213" s="33">
        <v>3</v>
      </c>
      <c r="F213" s="32" t="s">
        <v>543</v>
      </c>
      <c r="G213" s="33">
        <v>65</v>
      </c>
      <c r="H213" s="18" t="s">
        <v>63</v>
      </c>
      <c r="I213" s="32" t="s">
        <v>872</v>
      </c>
      <c r="J213" s="48" t="s">
        <v>17</v>
      </c>
      <c r="K213" s="49" t="s">
        <v>16</v>
      </c>
      <c r="L213" s="29" t="s">
        <v>17</v>
      </c>
    </row>
    <row r="214" customHeight="1" spans="1:12">
      <c r="A214" s="4">
        <v>163</v>
      </c>
      <c r="B214" s="4">
        <v>213</v>
      </c>
      <c r="C214" s="31">
        <v>45541</v>
      </c>
      <c r="D214" s="39" t="s">
        <v>31</v>
      </c>
      <c r="E214" s="40">
        <v>3</v>
      </c>
      <c r="F214" s="39" t="s">
        <v>788</v>
      </c>
      <c r="G214" s="40">
        <v>7</v>
      </c>
      <c r="H214" s="21" t="s">
        <v>547</v>
      </c>
      <c r="I214" s="39" t="s">
        <v>900</v>
      </c>
      <c r="J214" s="55" t="s">
        <v>17</v>
      </c>
      <c r="K214" s="53" t="s">
        <v>16</v>
      </c>
      <c r="L214" s="29" t="s">
        <v>17</v>
      </c>
    </row>
    <row r="215" customHeight="1" spans="1:12">
      <c r="A215" s="4">
        <v>164</v>
      </c>
      <c r="B215" s="4">
        <v>214</v>
      </c>
      <c r="C215" s="31">
        <v>45541</v>
      </c>
      <c r="D215" s="35" t="s">
        <v>31</v>
      </c>
      <c r="E215" s="36">
        <v>3</v>
      </c>
      <c r="F215" s="35" t="s">
        <v>549</v>
      </c>
      <c r="G215" s="36">
        <v>144</v>
      </c>
      <c r="H215" s="20" t="s">
        <v>73</v>
      </c>
      <c r="I215" s="7" t="s">
        <v>837</v>
      </c>
      <c r="J215" s="50" t="s">
        <v>36</v>
      </c>
      <c r="K215" s="51" t="s">
        <v>16</v>
      </c>
      <c r="L215" s="29" t="s">
        <v>17</v>
      </c>
    </row>
    <row r="216" customHeight="1" spans="1:12">
      <c r="A216" s="4">
        <v>165</v>
      </c>
      <c r="B216" s="4">
        <v>215</v>
      </c>
      <c r="C216" s="31">
        <v>45541</v>
      </c>
      <c r="D216" s="39" t="s">
        <v>80</v>
      </c>
      <c r="E216" s="40">
        <v>2</v>
      </c>
      <c r="F216" s="39" t="s">
        <v>543</v>
      </c>
      <c r="G216" s="40">
        <v>65</v>
      </c>
      <c r="H216" s="21" t="s">
        <v>246</v>
      </c>
      <c r="I216" s="39" t="s">
        <v>872</v>
      </c>
      <c r="J216" s="55" t="s">
        <v>17</v>
      </c>
      <c r="K216" s="53" t="s">
        <v>16</v>
      </c>
      <c r="L216" s="29" t="s">
        <v>17</v>
      </c>
    </row>
    <row r="217" customHeight="1" spans="1:12">
      <c r="A217" s="4">
        <v>166</v>
      </c>
      <c r="B217" s="4">
        <v>216</v>
      </c>
      <c r="C217" s="31">
        <v>45541</v>
      </c>
      <c r="D217" s="32" t="s">
        <v>87</v>
      </c>
      <c r="E217" s="33">
        <v>3</v>
      </c>
      <c r="F217" s="32" t="s">
        <v>552</v>
      </c>
      <c r="G217" s="33">
        <v>51</v>
      </c>
      <c r="H217" s="18" t="s">
        <v>13</v>
      </c>
      <c r="I217" s="6" t="s">
        <v>841</v>
      </c>
      <c r="J217" s="48" t="s">
        <v>17</v>
      </c>
      <c r="K217" s="49" t="s">
        <v>16</v>
      </c>
      <c r="L217" s="29" t="s">
        <v>17</v>
      </c>
    </row>
    <row r="218" customHeight="1" spans="1:12">
      <c r="A218" s="4">
        <v>167</v>
      </c>
      <c r="B218" s="4">
        <v>217</v>
      </c>
      <c r="C218" s="31">
        <v>45541</v>
      </c>
      <c r="D218" s="32" t="s">
        <v>87</v>
      </c>
      <c r="E218" s="33">
        <v>3</v>
      </c>
      <c r="F218" s="32" t="s">
        <v>789</v>
      </c>
      <c r="G218" s="33">
        <v>6</v>
      </c>
      <c r="H218" s="18" t="s">
        <v>13</v>
      </c>
      <c r="I218" s="6" t="s">
        <v>920</v>
      </c>
      <c r="J218" s="48" t="s">
        <v>17</v>
      </c>
      <c r="K218" s="49" t="s">
        <v>16</v>
      </c>
      <c r="L218" s="29" t="s">
        <v>17</v>
      </c>
    </row>
    <row r="219" customHeight="1" spans="1:12">
      <c r="A219" s="4">
        <v>168</v>
      </c>
      <c r="B219" s="4">
        <v>218</v>
      </c>
      <c r="C219" s="31">
        <v>45541</v>
      </c>
      <c r="D219" s="32" t="s">
        <v>87</v>
      </c>
      <c r="E219" s="33">
        <v>3</v>
      </c>
      <c r="F219" s="32" t="s">
        <v>556</v>
      </c>
      <c r="G219" s="33">
        <v>44</v>
      </c>
      <c r="H219" s="18" t="s">
        <v>63</v>
      </c>
      <c r="I219" s="32" t="s">
        <v>879</v>
      </c>
      <c r="J219" s="48" t="s">
        <v>17</v>
      </c>
      <c r="K219" s="49" t="s">
        <v>16</v>
      </c>
      <c r="L219" s="29" t="s">
        <v>17</v>
      </c>
    </row>
    <row r="220" customHeight="1" spans="1:12">
      <c r="A220" s="4">
        <v>169</v>
      </c>
      <c r="B220" s="4">
        <v>219</v>
      </c>
      <c r="C220" s="31">
        <v>45541</v>
      </c>
      <c r="D220" s="32" t="s">
        <v>87</v>
      </c>
      <c r="E220" s="33">
        <v>3</v>
      </c>
      <c r="F220" s="32" t="s">
        <v>558</v>
      </c>
      <c r="G220" s="33">
        <v>149</v>
      </c>
      <c r="H220" s="18" t="s">
        <v>33</v>
      </c>
      <c r="I220" s="32" t="s">
        <v>921</v>
      </c>
      <c r="J220" s="48" t="s">
        <v>36</v>
      </c>
      <c r="K220" s="49" t="s">
        <v>16</v>
      </c>
      <c r="L220" s="29" t="s">
        <v>17</v>
      </c>
    </row>
    <row r="221" customHeight="1" spans="1:12">
      <c r="A221" s="4">
        <v>170</v>
      </c>
      <c r="B221" s="4">
        <v>220</v>
      </c>
      <c r="C221" s="31">
        <v>45541</v>
      </c>
      <c r="D221" s="32" t="s">
        <v>87</v>
      </c>
      <c r="E221" s="33">
        <v>3</v>
      </c>
      <c r="F221" s="32" t="s">
        <v>562</v>
      </c>
      <c r="G221" s="33">
        <v>45</v>
      </c>
      <c r="H221" s="18" t="s">
        <v>49</v>
      </c>
      <c r="I221" s="6" t="s">
        <v>858</v>
      </c>
      <c r="J221" s="48" t="s">
        <v>17</v>
      </c>
      <c r="K221" s="49" t="s">
        <v>16</v>
      </c>
      <c r="L221" s="29" t="s">
        <v>17</v>
      </c>
    </row>
    <row r="222" customHeight="1" spans="1:12">
      <c r="A222" s="4">
        <v>171</v>
      </c>
      <c r="B222" s="4">
        <v>221</v>
      </c>
      <c r="C222" s="31">
        <v>45541</v>
      </c>
      <c r="D222" s="32" t="s">
        <v>87</v>
      </c>
      <c r="E222" s="33">
        <v>3</v>
      </c>
      <c r="F222" s="32" t="s">
        <v>564</v>
      </c>
      <c r="G222" s="33">
        <v>43</v>
      </c>
      <c r="H222" s="18" t="s">
        <v>53</v>
      </c>
      <c r="I222" s="6" t="s">
        <v>902</v>
      </c>
      <c r="J222" s="48" t="s">
        <v>17</v>
      </c>
      <c r="K222" s="49" t="s">
        <v>16</v>
      </c>
      <c r="L222" s="29" t="s">
        <v>17</v>
      </c>
    </row>
    <row r="223" customHeight="1" spans="1:12">
      <c r="A223" s="4">
        <v>172</v>
      </c>
      <c r="B223" s="4">
        <v>222</v>
      </c>
      <c r="C223" s="31">
        <v>45541</v>
      </c>
      <c r="D223" s="32" t="s">
        <v>87</v>
      </c>
      <c r="E223" s="33">
        <v>3</v>
      </c>
      <c r="F223" s="32" t="s">
        <v>566</v>
      </c>
      <c r="G223" s="33">
        <v>50</v>
      </c>
      <c r="H223" s="18" t="s">
        <v>315</v>
      </c>
      <c r="I223" s="6" t="s">
        <v>836</v>
      </c>
      <c r="J223" s="48" t="s">
        <v>17</v>
      </c>
      <c r="K223" s="49" t="s">
        <v>16</v>
      </c>
      <c r="L223" s="29" t="s">
        <v>17</v>
      </c>
    </row>
    <row r="224" customHeight="1" spans="1:12">
      <c r="A224" s="4">
        <v>173</v>
      </c>
      <c r="B224" s="4">
        <v>223</v>
      </c>
      <c r="C224" s="31">
        <v>45541</v>
      </c>
      <c r="D224" s="32" t="s">
        <v>87</v>
      </c>
      <c r="E224" s="33">
        <v>3</v>
      </c>
      <c r="F224" s="32" t="s">
        <v>567</v>
      </c>
      <c r="G224" s="33">
        <v>18</v>
      </c>
      <c r="H224" s="18" t="s">
        <v>77</v>
      </c>
      <c r="I224" s="32" t="s">
        <v>856</v>
      </c>
      <c r="J224" s="48" t="s">
        <v>17</v>
      </c>
      <c r="K224" s="49" t="s">
        <v>16</v>
      </c>
      <c r="L224" s="29" t="s">
        <v>17</v>
      </c>
    </row>
    <row r="225" customHeight="1" spans="1:12">
      <c r="A225" s="4">
        <v>173</v>
      </c>
      <c r="B225" s="4">
        <v>224</v>
      </c>
      <c r="C225" s="37">
        <v>45541</v>
      </c>
      <c r="D225" s="35" t="s">
        <v>87</v>
      </c>
      <c r="E225" s="36">
        <v>3</v>
      </c>
      <c r="F225" s="35" t="s">
        <v>569</v>
      </c>
      <c r="G225" s="36">
        <v>59</v>
      </c>
      <c r="H225" s="20" t="s">
        <v>77</v>
      </c>
      <c r="I225" s="35" t="s">
        <v>856</v>
      </c>
      <c r="J225" s="50" t="s">
        <v>17</v>
      </c>
      <c r="K225" s="51" t="s">
        <v>16</v>
      </c>
      <c r="L225" s="29" t="s">
        <v>17</v>
      </c>
    </row>
    <row r="226" customHeight="1" spans="1:12">
      <c r="A226" s="4">
        <v>174</v>
      </c>
      <c r="B226" s="4">
        <v>225</v>
      </c>
      <c r="C226" s="31">
        <v>45542</v>
      </c>
      <c r="D226" s="32" t="s">
        <v>11</v>
      </c>
      <c r="E226" s="33">
        <v>2</v>
      </c>
      <c r="F226" s="32" t="s">
        <v>570</v>
      </c>
      <c r="G226" s="33">
        <v>413</v>
      </c>
      <c r="H226" s="18" t="s">
        <v>44</v>
      </c>
      <c r="I226" s="32" t="s">
        <v>922</v>
      </c>
      <c r="J226" s="48" t="s">
        <v>36</v>
      </c>
      <c r="K226" s="49" t="s">
        <v>16</v>
      </c>
      <c r="L226" s="29" t="s">
        <v>17</v>
      </c>
    </row>
    <row r="227" customHeight="1" spans="1:12">
      <c r="A227" s="4">
        <v>175</v>
      </c>
      <c r="B227" s="4">
        <v>226</v>
      </c>
      <c r="C227" s="31">
        <v>45542</v>
      </c>
      <c r="D227" s="32" t="s">
        <v>11</v>
      </c>
      <c r="E227" s="33">
        <v>2</v>
      </c>
      <c r="F227" s="32" t="s">
        <v>575</v>
      </c>
      <c r="G227" s="33">
        <v>280</v>
      </c>
      <c r="H227" s="18" t="s">
        <v>39</v>
      </c>
      <c r="I227" s="32" t="s">
        <v>922</v>
      </c>
      <c r="J227" s="48" t="s">
        <v>36</v>
      </c>
      <c r="K227" s="49" t="s">
        <v>16</v>
      </c>
      <c r="L227" s="29" t="s">
        <v>17</v>
      </c>
    </row>
    <row r="228" customHeight="1" spans="1:12">
      <c r="A228" s="4">
        <v>175</v>
      </c>
      <c r="B228" s="4">
        <v>227</v>
      </c>
      <c r="C228" s="31">
        <v>45542</v>
      </c>
      <c r="D228" s="32" t="s">
        <v>11</v>
      </c>
      <c r="E228" s="33">
        <v>2</v>
      </c>
      <c r="F228" s="32" t="s">
        <v>575</v>
      </c>
      <c r="G228" s="33">
        <v>155</v>
      </c>
      <c r="H228" s="18" t="s">
        <v>33</v>
      </c>
      <c r="I228" s="32" t="s">
        <v>922</v>
      </c>
      <c r="J228" s="48" t="s">
        <v>36</v>
      </c>
      <c r="K228" s="49" t="s">
        <v>16</v>
      </c>
      <c r="L228" s="29" t="s">
        <v>17</v>
      </c>
    </row>
    <row r="229" customHeight="1" spans="1:12">
      <c r="A229" s="4">
        <v>176</v>
      </c>
      <c r="B229" s="4">
        <v>228</v>
      </c>
      <c r="C229" s="31">
        <v>45542</v>
      </c>
      <c r="D229" s="32" t="s">
        <v>11</v>
      </c>
      <c r="E229" s="33">
        <v>2</v>
      </c>
      <c r="F229" s="32" t="s">
        <v>579</v>
      </c>
      <c r="G229" s="33">
        <v>70</v>
      </c>
      <c r="H229" s="18" t="s">
        <v>13</v>
      </c>
      <c r="I229" s="32" t="s">
        <v>828</v>
      </c>
      <c r="J229" s="48" t="s">
        <v>17</v>
      </c>
      <c r="K229" s="49" t="s">
        <v>16</v>
      </c>
      <c r="L229" s="29" t="s">
        <v>17</v>
      </c>
    </row>
    <row r="230" customHeight="1" spans="1:12">
      <c r="A230" s="4">
        <v>176</v>
      </c>
      <c r="B230" s="4">
        <v>229</v>
      </c>
      <c r="C230" s="31">
        <v>45542</v>
      </c>
      <c r="D230" s="32" t="s">
        <v>11</v>
      </c>
      <c r="E230" s="33">
        <v>2</v>
      </c>
      <c r="F230" s="32" t="s">
        <v>581</v>
      </c>
      <c r="G230" s="33">
        <v>22</v>
      </c>
      <c r="H230" s="18" t="s">
        <v>49</v>
      </c>
      <c r="I230" s="32" t="s">
        <v>828</v>
      </c>
      <c r="J230" s="48" t="s">
        <v>17</v>
      </c>
      <c r="K230" s="49" t="s">
        <v>16</v>
      </c>
      <c r="L230" s="29" t="s">
        <v>17</v>
      </c>
    </row>
    <row r="231" customHeight="1" spans="1:12">
      <c r="A231" s="4">
        <v>177</v>
      </c>
      <c r="B231" s="4">
        <v>230</v>
      </c>
      <c r="C231" s="31">
        <v>45542</v>
      </c>
      <c r="D231" s="32" t="s">
        <v>11</v>
      </c>
      <c r="E231" s="33">
        <v>2</v>
      </c>
      <c r="F231" s="32" t="s">
        <v>583</v>
      </c>
      <c r="G231" s="33">
        <v>265</v>
      </c>
      <c r="H231" s="18" t="s">
        <v>58</v>
      </c>
      <c r="I231" s="32" t="s">
        <v>839</v>
      </c>
      <c r="J231" s="48" t="s">
        <v>36</v>
      </c>
      <c r="K231" s="49" t="s">
        <v>16</v>
      </c>
      <c r="L231" s="29" t="s">
        <v>17</v>
      </c>
    </row>
    <row r="232" customHeight="1" spans="1:12">
      <c r="A232" s="4">
        <v>177</v>
      </c>
      <c r="B232" s="4">
        <v>231</v>
      </c>
      <c r="C232" s="31">
        <v>45542</v>
      </c>
      <c r="D232" s="32" t="s">
        <v>11</v>
      </c>
      <c r="E232" s="33">
        <v>2</v>
      </c>
      <c r="F232" s="32" t="s">
        <v>585</v>
      </c>
      <c r="G232" s="33">
        <v>177</v>
      </c>
      <c r="H232" s="18" t="s">
        <v>73</v>
      </c>
      <c r="I232" s="32" t="s">
        <v>839</v>
      </c>
      <c r="J232" s="48" t="s">
        <v>36</v>
      </c>
      <c r="K232" s="49" t="s">
        <v>16</v>
      </c>
      <c r="L232" s="29" t="s">
        <v>17</v>
      </c>
    </row>
    <row r="233" customHeight="1" spans="1:12">
      <c r="A233" s="4">
        <v>178</v>
      </c>
      <c r="B233" s="4">
        <v>232</v>
      </c>
      <c r="C233" s="31">
        <v>45542</v>
      </c>
      <c r="D233" s="32" t="s">
        <v>31</v>
      </c>
      <c r="E233" s="33">
        <v>3</v>
      </c>
      <c r="F233" s="32" t="s">
        <v>587</v>
      </c>
      <c r="G233" s="33">
        <v>58</v>
      </c>
      <c r="H233" s="18" t="s">
        <v>53</v>
      </c>
      <c r="I233" s="6" t="s">
        <v>884</v>
      </c>
      <c r="J233" s="48" t="s">
        <v>17</v>
      </c>
      <c r="K233" s="49" t="s">
        <v>16</v>
      </c>
      <c r="L233" s="29" t="s">
        <v>17</v>
      </c>
    </row>
    <row r="234" customHeight="1" spans="1:12">
      <c r="A234" s="4">
        <v>179</v>
      </c>
      <c r="B234" s="4">
        <v>233</v>
      </c>
      <c r="C234" s="31">
        <v>45542</v>
      </c>
      <c r="D234" s="32" t="s">
        <v>31</v>
      </c>
      <c r="E234" s="33">
        <v>3</v>
      </c>
      <c r="F234" s="32" t="s">
        <v>589</v>
      </c>
      <c r="G234" s="33">
        <v>92</v>
      </c>
      <c r="H234" s="18" t="s">
        <v>77</v>
      </c>
      <c r="I234" s="32" t="s">
        <v>923</v>
      </c>
      <c r="J234" s="48" t="s">
        <v>17</v>
      </c>
      <c r="K234" s="49" t="s">
        <v>16</v>
      </c>
      <c r="L234" s="29" t="s">
        <v>17</v>
      </c>
    </row>
    <row r="235" customHeight="1" spans="1:12">
      <c r="A235" s="4">
        <v>180</v>
      </c>
      <c r="B235" s="4">
        <v>234</v>
      </c>
      <c r="C235" s="31">
        <v>45542</v>
      </c>
      <c r="D235" s="32" t="s">
        <v>31</v>
      </c>
      <c r="E235" s="33">
        <v>3</v>
      </c>
      <c r="F235" s="32" t="s">
        <v>593</v>
      </c>
      <c r="G235" s="33">
        <v>49</v>
      </c>
      <c r="H235" s="18" t="s">
        <v>63</v>
      </c>
      <c r="I235" s="6" t="s">
        <v>919</v>
      </c>
      <c r="J235" s="48" t="s">
        <v>17</v>
      </c>
      <c r="K235" s="49" t="s">
        <v>16</v>
      </c>
      <c r="L235" s="29" t="s">
        <v>17</v>
      </c>
    </row>
    <row r="236" customHeight="1" spans="1:12">
      <c r="A236" s="4">
        <v>181</v>
      </c>
      <c r="B236" s="4">
        <v>235</v>
      </c>
      <c r="C236" s="31">
        <v>45542</v>
      </c>
      <c r="D236" s="32" t="s">
        <v>31</v>
      </c>
      <c r="E236" s="33">
        <v>3</v>
      </c>
      <c r="F236" s="32" t="s">
        <v>792</v>
      </c>
      <c r="G236" s="33">
        <v>12</v>
      </c>
      <c r="H236" s="18" t="s">
        <v>63</v>
      </c>
      <c r="I236" s="32" t="s">
        <v>924</v>
      </c>
      <c r="J236" s="48" t="s">
        <v>17</v>
      </c>
      <c r="K236" s="49" t="s">
        <v>16</v>
      </c>
      <c r="L236" s="29" t="s">
        <v>17</v>
      </c>
    </row>
    <row r="237" customHeight="1" spans="1:12">
      <c r="A237" s="4">
        <v>182</v>
      </c>
      <c r="B237" s="4">
        <v>236</v>
      </c>
      <c r="C237" s="31">
        <v>45542</v>
      </c>
      <c r="D237" s="39" t="s">
        <v>31</v>
      </c>
      <c r="E237" s="40">
        <v>3</v>
      </c>
      <c r="F237" s="39" t="s">
        <v>598</v>
      </c>
      <c r="G237" s="40">
        <v>80</v>
      </c>
      <c r="H237" s="21" t="s">
        <v>68</v>
      </c>
      <c r="I237" s="8" t="s">
        <v>836</v>
      </c>
      <c r="J237" s="55" t="s">
        <v>17</v>
      </c>
      <c r="K237" s="53" t="s">
        <v>16</v>
      </c>
      <c r="L237" s="29" t="s">
        <v>17</v>
      </c>
    </row>
    <row r="238" customHeight="1" spans="1:12">
      <c r="A238" s="4">
        <v>183</v>
      </c>
      <c r="B238" s="4">
        <v>237</v>
      </c>
      <c r="C238" s="31">
        <v>45542</v>
      </c>
      <c r="D238" s="32" t="s">
        <v>31</v>
      </c>
      <c r="E238" s="33">
        <v>3</v>
      </c>
      <c r="F238" s="32" t="s">
        <v>599</v>
      </c>
      <c r="G238" s="33">
        <v>70</v>
      </c>
      <c r="H238" s="18" t="s">
        <v>600</v>
      </c>
      <c r="I238" s="6" t="s">
        <v>925</v>
      </c>
      <c r="J238" s="48" t="s">
        <v>17</v>
      </c>
      <c r="K238" s="49" t="s">
        <v>16</v>
      </c>
      <c r="L238" s="29" t="s">
        <v>17</v>
      </c>
    </row>
    <row r="239" customHeight="1" spans="1:12">
      <c r="A239" s="4">
        <v>183</v>
      </c>
      <c r="B239" s="4">
        <v>238</v>
      </c>
      <c r="C239" s="31">
        <v>45542</v>
      </c>
      <c r="D239" s="35" t="s">
        <v>31</v>
      </c>
      <c r="E239" s="36">
        <v>3</v>
      </c>
      <c r="F239" s="35" t="s">
        <v>603</v>
      </c>
      <c r="G239" s="36">
        <v>41</v>
      </c>
      <c r="H239" s="20" t="s">
        <v>604</v>
      </c>
      <c r="I239" s="7" t="s">
        <v>925</v>
      </c>
      <c r="J239" s="50" t="s">
        <v>17</v>
      </c>
      <c r="K239" s="51" t="s">
        <v>16</v>
      </c>
      <c r="L239" s="29" t="s">
        <v>17</v>
      </c>
    </row>
    <row r="240" customHeight="1" spans="1:12">
      <c r="A240" s="4">
        <v>184</v>
      </c>
      <c r="B240" s="4">
        <v>239</v>
      </c>
      <c r="C240" s="31">
        <v>45542</v>
      </c>
      <c r="D240" s="39" t="s">
        <v>80</v>
      </c>
      <c r="E240" s="40">
        <v>2</v>
      </c>
      <c r="F240" s="39" t="s">
        <v>606</v>
      </c>
      <c r="G240" s="40">
        <v>163</v>
      </c>
      <c r="H240" s="21" t="s">
        <v>33</v>
      </c>
      <c r="I240" s="39" t="s">
        <v>922</v>
      </c>
      <c r="J240" s="55" t="s">
        <v>36</v>
      </c>
      <c r="K240" s="53" t="s">
        <v>16</v>
      </c>
      <c r="L240" s="29" t="s">
        <v>17</v>
      </c>
    </row>
    <row r="241" customHeight="1" spans="1:12">
      <c r="A241" s="4">
        <v>185</v>
      </c>
      <c r="B241" s="4">
        <v>240</v>
      </c>
      <c r="C241" s="31">
        <v>45542</v>
      </c>
      <c r="D241" s="32" t="s">
        <v>80</v>
      </c>
      <c r="E241" s="33">
        <v>2</v>
      </c>
      <c r="F241" s="32" t="s">
        <v>609</v>
      </c>
      <c r="G241" s="33">
        <v>359</v>
      </c>
      <c r="H241" s="18" t="s">
        <v>44</v>
      </c>
      <c r="I241" s="32" t="s">
        <v>842</v>
      </c>
      <c r="J241" s="48" t="s">
        <v>36</v>
      </c>
      <c r="K241" s="49" t="s">
        <v>16</v>
      </c>
      <c r="L241" s="29" t="s">
        <v>17</v>
      </c>
    </row>
    <row r="242" customHeight="1" spans="1:12">
      <c r="A242" s="4">
        <v>186</v>
      </c>
      <c r="B242" s="4">
        <v>241</v>
      </c>
      <c r="C242" s="31">
        <v>45542</v>
      </c>
      <c r="D242" s="32" t="s">
        <v>87</v>
      </c>
      <c r="E242" s="33">
        <v>3</v>
      </c>
      <c r="F242" s="32" t="s">
        <v>612</v>
      </c>
      <c r="G242" s="33">
        <v>49</v>
      </c>
      <c r="H242" s="18" t="s">
        <v>13</v>
      </c>
      <c r="I242" s="6" t="s">
        <v>897</v>
      </c>
      <c r="J242" s="48" t="s">
        <v>17</v>
      </c>
      <c r="K242" s="49" t="s">
        <v>16</v>
      </c>
      <c r="L242" s="29" t="s">
        <v>17</v>
      </c>
    </row>
    <row r="243" customHeight="1" spans="1:12">
      <c r="A243" s="4">
        <v>187</v>
      </c>
      <c r="B243" s="4">
        <v>242</v>
      </c>
      <c r="C243" s="31">
        <v>45542</v>
      </c>
      <c r="D243" s="32" t="s">
        <v>87</v>
      </c>
      <c r="E243" s="33">
        <v>3</v>
      </c>
      <c r="F243" s="32" t="s">
        <v>795</v>
      </c>
      <c r="G243" s="33">
        <v>13</v>
      </c>
      <c r="H243" s="18" t="s">
        <v>13</v>
      </c>
      <c r="I243" s="32" t="s">
        <v>926</v>
      </c>
      <c r="J243" s="48" t="s">
        <v>17</v>
      </c>
      <c r="K243" s="49" t="s">
        <v>16</v>
      </c>
      <c r="L243" s="29" t="s">
        <v>17</v>
      </c>
    </row>
    <row r="244" customHeight="1" spans="1:12">
      <c r="A244" s="4">
        <v>188</v>
      </c>
      <c r="B244" s="4">
        <v>243</v>
      </c>
      <c r="C244" s="31">
        <v>45542</v>
      </c>
      <c r="D244" s="32" t="s">
        <v>87</v>
      </c>
      <c r="E244" s="33">
        <v>3</v>
      </c>
      <c r="F244" s="32" t="s">
        <v>617</v>
      </c>
      <c r="G244" s="33">
        <v>45</v>
      </c>
      <c r="H244" s="18" t="s">
        <v>49</v>
      </c>
      <c r="I244" s="6" t="s">
        <v>861</v>
      </c>
      <c r="J244" s="48" t="s">
        <v>17</v>
      </c>
      <c r="K244" s="49" t="s">
        <v>16</v>
      </c>
      <c r="L244" s="29" t="s">
        <v>17</v>
      </c>
    </row>
    <row r="245" customHeight="1" spans="1:12">
      <c r="A245" s="4">
        <v>189</v>
      </c>
      <c r="B245" s="4">
        <v>244</v>
      </c>
      <c r="C245" s="31">
        <v>45542</v>
      </c>
      <c r="D245" s="32" t="s">
        <v>87</v>
      </c>
      <c r="E245" s="33">
        <v>3</v>
      </c>
      <c r="F245" s="32" t="s">
        <v>796</v>
      </c>
      <c r="G245" s="33">
        <v>7</v>
      </c>
      <c r="H245" s="18" t="s">
        <v>53</v>
      </c>
      <c r="I245" s="6" t="s">
        <v>854</v>
      </c>
      <c r="J245" s="48" t="s">
        <v>17</v>
      </c>
      <c r="K245" s="49" t="s">
        <v>16</v>
      </c>
      <c r="L245" s="29" t="s">
        <v>17</v>
      </c>
    </row>
    <row r="246" customHeight="1" spans="1:12">
      <c r="A246" s="4">
        <v>190</v>
      </c>
      <c r="B246" s="4">
        <v>245</v>
      </c>
      <c r="C246" s="31">
        <v>45542</v>
      </c>
      <c r="D246" s="32" t="s">
        <v>87</v>
      </c>
      <c r="E246" s="33">
        <v>3</v>
      </c>
      <c r="F246" s="32" t="s">
        <v>621</v>
      </c>
      <c r="G246" s="33">
        <v>22</v>
      </c>
      <c r="H246" s="18" t="s">
        <v>53</v>
      </c>
      <c r="I246" s="6" t="s">
        <v>854</v>
      </c>
      <c r="J246" s="48" t="s">
        <v>17</v>
      </c>
      <c r="K246" s="49" t="s">
        <v>16</v>
      </c>
      <c r="L246" s="29" t="s">
        <v>17</v>
      </c>
    </row>
    <row r="247" customHeight="1" spans="1:12">
      <c r="A247" s="4">
        <v>191</v>
      </c>
      <c r="B247" s="4">
        <v>246</v>
      </c>
      <c r="C247" s="31">
        <v>45542</v>
      </c>
      <c r="D247" s="32" t="s">
        <v>87</v>
      </c>
      <c r="E247" s="33">
        <v>3</v>
      </c>
      <c r="F247" s="32" t="s">
        <v>599</v>
      </c>
      <c r="G247" s="33">
        <v>70</v>
      </c>
      <c r="H247" s="18" t="s">
        <v>600</v>
      </c>
      <c r="I247" s="6" t="s">
        <v>925</v>
      </c>
      <c r="J247" s="48" t="s">
        <v>17</v>
      </c>
      <c r="K247" s="49" t="s">
        <v>115</v>
      </c>
      <c r="L247" s="29" t="s">
        <v>17</v>
      </c>
    </row>
    <row r="248" customHeight="1" spans="1:12">
      <c r="A248" s="4">
        <v>191</v>
      </c>
      <c r="B248" s="4">
        <v>247</v>
      </c>
      <c r="C248" s="31">
        <v>45542</v>
      </c>
      <c r="D248" s="32" t="s">
        <v>87</v>
      </c>
      <c r="E248" s="33">
        <v>3</v>
      </c>
      <c r="F248" s="32" t="s">
        <v>603</v>
      </c>
      <c r="G248" s="33">
        <v>41</v>
      </c>
      <c r="H248" s="18" t="s">
        <v>604</v>
      </c>
      <c r="I248" s="6" t="s">
        <v>925</v>
      </c>
      <c r="J248" s="48" t="s">
        <v>17</v>
      </c>
      <c r="K248" s="49" t="s">
        <v>115</v>
      </c>
      <c r="L248" s="29" t="s">
        <v>17</v>
      </c>
    </row>
    <row r="249" customHeight="1" spans="1:12">
      <c r="A249" s="4">
        <v>192</v>
      </c>
      <c r="B249" s="4">
        <v>248</v>
      </c>
      <c r="C249" s="31">
        <v>45542</v>
      </c>
      <c r="D249" s="32" t="s">
        <v>87</v>
      </c>
      <c r="E249" s="33">
        <v>3</v>
      </c>
      <c r="F249" s="32" t="s">
        <v>624</v>
      </c>
      <c r="G249" s="33">
        <v>29</v>
      </c>
      <c r="H249" s="18" t="s">
        <v>77</v>
      </c>
      <c r="I249" s="6" t="s">
        <v>871</v>
      </c>
      <c r="J249" s="48" t="s">
        <v>17</v>
      </c>
      <c r="K249" s="49" t="s">
        <v>16</v>
      </c>
      <c r="L249" s="29" t="s">
        <v>17</v>
      </c>
    </row>
    <row r="250" customHeight="1" spans="1:12">
      <c r="A250" s="4">
        <v>192</v>
      </c>
      <c r="B250" s="4">
        <v>249</v>
      </c>
      <c r="C250" s="31">
        <v>45542</v>
      </c>
      <c r="D250" s="32" t="s">
        <v>87</v>
      </c>
      <c r="E250" s="33">
        <v>3</v>
      </c>
      <c r="F250" s="32" t="s">
        <v>626</v>
      </c>
      <c r="G250" s="33">
        <v>6</v>
      </c>
      <c r="H250" s="18" t="s">
        <v>77</v>
      </c>
      <c r="I250" s="6" t="s">
        <v>871</v>
      </c>
      <c r="J250" s="48" t="s">
        <v>17</v>
      </c>
      <c r="K250" s="49" t="s">
        <v>16</v>
      </c>
      <c r="L250" s="29" t="s">
        <v>17</v>
      </c>
    </row>
    <row r="251" customHeight="1" spans="1:12">
      <c r="A251" s="4">
        <v>192</v>
      </c>
      <c r="B251" s="4">
        <v>250</v>
      </c>
      <c r="C251" s="31">
        <v>45542</v>
      </c>
      <c r="D251" s="32" t="s">
        <v>87</v>
      </c>
      <c r="E251" s="33">
        <v>3</v>
      </c>
      <c r="F251" s="32" t="s">
        <v>627</v>
      </c>
      <c r="G251" s="33">
        <v>50</v>
      </c>
      <c r="H251" s="18" t="s">
        <v>77</v>
      </c>
      <c r="I251" s="6" t="s">
        <v>871</v>
      </c>
      <c r="J251" s="48" t="s">
        <v>17</v>
      </c>
      <c r="K251" s="49" t="s">
        <v>16</v>
      </c>
      <c r="L251" s="29" t="s">
        <v>17</v>
      </c>
    </row>
    <row r="252" customHeight="1" spans="1:12">
      <c r="A252" s="4">
        <v>193</v>
      </c>
      <c r="B252" s="4">
        <v>251</v>
      </c>
      <c r="C252" s="31">
        <v>45542</v>
      </c>
      <c r="D252" s="32" t="s">
        <v>87</v>
      </c>
      <c r="E252" s="33">
        <v>3</v>
      </c>
      <c r="F252" s="32" t="s">
        <v>628</v>
      </c>
      <c r="G252" s="33">
        <v>45</v>
      </c>
      <c r="H252" s="18" t="s">
        <v>63</v>
      </c>
      <c r="I252" s="6" t="s">
        <v>927</v>
      </c>
      <c r="J252" s="48" t="s">
        <v>17</v>
      </c>
      <c r="K252" s="49" t="s">
        <v>16</v>
      </c>
      <c r="L252" s="29" t="s">
        <v>17</v>
      </c>
    </row>
    <row r="253" customHeight="1" spans="1:12">
      <c r="A253" s="4">
        <v>194</v>
      </c>
      <c r="B253" s="4">
        <v>252</v>
      </c>
      <c r="C253" s="43">
        <v>45542</v>
      </c>
      <c r="D253" s="41" t="s">
        <v>87</v>
      </c>
      <c r="E253" s="42">
        <v>3</v>
      </c>
      <c r="F253" s="41" t="s">
        <v>928</v>
      </c>
      <c r="G253" s="42">
        <v>5</v>
      </c>
      <c r="H253" s="22" t="s">
        <v>63</v>
      </c>
      <c r="I253" s="9" t="s">
        <v>927</v>
      </c>
      <c r="J253" s="62" t="s">
        <v>17</v>
      </c>
      <c r="K253" s="54" t="s">
        <v>16</v>
      </c>
      <c r="L253" s="29" t="s">
        <v>17</v>
      </c>
    </row>
    <row r="254" customHeight="1" spans="1:12">
      <c r="A254" s="4">
        <v>195</v>
      </c>
      <c r="B254" s="4">
        <v>253</v>
      </c>
      <c r="C254" s="37">
        <v>45542</v>
      </c>
      <c r="D254" s="35" t="s">
        <v>312</v>
      </c>
      <c r="E254" s="36">
        <v>4</v>
      </c>
      <c r="F254" s="35" t="s">
        <v>598</v>
      </c>
      <c r="G254" s="36">
        <v>80</v>
      </c>
      <c r="H254" s="20" t="s">
        <v>68</v>
      </c>
      <c r="I254" s="7" t="s">
        <v>836</v>
      </c>
      <c r="J254" s="50" t="s">
        <v>17</v>
      </c>
      <c r="K254" s="51" t="s">
        <v>115</v>
      </c>
      <c r="L254" s="29" t="s">
        <v>17</v>
      </c>
    </row>
    <row r="255" customHeight="1" spans="1:12">
      <c r="A255" s="4">
        <v>196</v>
      </c>
      <c r="B255" s="4">
        <v>254</v>
      </c>
      <c r="C255" s="38">
        <v>45543</v>
      </c>
      <c r="D255" s="39" t="s">
        <v>11</v>
      </c>
      <c r="E255" s="40">
        <v>2</v>
      </c>
      <c r="F255" s="39" t="s">
        <v>632</v>
      </c>
      <c r="G255" s="40">
        <v>29</v>
      </c>
      <c r="H255" s="21" t="s">
        <v>13</v>
      </c>
      <c r="I255" s="39" t="s">
        <v>835</v>
      </c>
      <c r="J255" s="55" t="s">
        <v>17</v>
      </c>
      <c r="K255" s="53" t="s">
        <v>16</v>
      </c>
      <c r="L255" s="29" t="s">
        <v>17</v>
      </c>
    </row>
    <row r="256" customHeight="1" spans="1:12">
      <c r="A256" s="4">
        <v>197</v>
      </c>
      <c r="B256" s="4">
        <v>255</v>
      </c>
      <c r="C256" s="31">
        <v>45543</v>
      </c>
      <c r="D256" s="32" t="s">
        <v>11</v>
      </c>
      <c r="E256" s="33">
        <v>2</v>
      </c>
      <c r="F256" s="32" t="s">
        <v>801</v>
      </c>
      <c r="G256" s="33">
        <v>12</v>
      </c>
      <c r="H256" s="18" t="s">
        <v>13</v>
      </c>
      <c r="I256" s="32" t="s">
        <v>828</v>
      </c>
      <c r="J256" s="48" t="s">
        <v>17</v>
      </c>
      <c r="K256" s="49" t="s">
        <v>16</v>
      </c>
      <c r="L256" s="29" t="s">
        <v>17</v>
      </c>
    </row>
    <row r="257" customHeight="1" spans="1:12">
      <c r="A257" s="4">
        <v>198</v>
      </c>
      <c r="B257" s="4">
        <v>256</v>
      </c>
      <c r="C257" s="31">
        <v>45543</v>
      </c>
      <c r="D257" s="32" t="s">
        <v>11</v>
      </c>
      <c r="E257" s="33">
        <v>2</v>
      </c>
      <c r="F257" s="32" t="s">
        <v>636</v>
      </c>
      <c r="G257" s="33">
        <v>12</v>
      </c>
      <c r="H257" s="18" t="s">
        <v>77</v>
      </c>
      <c r="I257" s="32" t="s">
        <v>880</v>
      </c>
      <c r="J257" s="48" t="s">
        <v>17</v>
      </c>
      <c r="K257" s="49" t="s">
        <v>16</v>
      </c>
      <c r="L257" s="29" t="s">
        <v>17</v>
      </c>
    </row>
    <row r="258" customHeight="1" spans="1:12">
      <c r="A258" s="4">
        <v>198</v>
      </c>
      <c r="B258" s="4">
        <v>257</v>
      </c>
      <c r="C258" s="31">
        <v>45543</v>
      </c>
      <c r="D258" s="32" t="s">
        <v>11</v>
      </c>
      <c r="E258" s="33">
        <v>2</v>
      </c>
      <c r="F258" s="32" t="s">
        <v>639</v>
      </c>
      <c r="G258" s="33">
        <v>76</v>
      </c>
      <c r="H258" s="18" t="s">
        <v>77</v>
      </c>
      <c r="I258" s="32" t="s">
        <v>880</v>
      </c>
      <c r="J258" s="48" t="s">
        <v>17</v>
      </c>
      <c r="K258" s="49" t="s">
        <v>16</v>
      </c>
      <c r="L258" s="29" t="s">
        <v>17</v>
      </c>
    </row>
    <row r="259" customHeight="1" spans="1:12">
      <c r="A259" s="4">
        <v>199</v>
      </c>
      <c r="B259" s="4">
        <v>258</v>
      </c>
      <c r="C259" s="31">
        <v>45543</v>
      </c>
      <c r="D259" s="32" t="s">
        <v>11</v>
      </c>
      <c r="E259" s="33">
        <v>2</v>
      </c>
      <c r="F259" s="32" t="s">
        <v>803</v>
      </c>
      <c r="G259" s="33">
        <v>58</v>
      </c>
      <c r="H259" s="18" t="s">
        <v>49</v>
      </c>
      <c r="I259" s="6" t="s">
        <v>868</v>
      </c>
      <c r="J259" s="48" t="s">
        <v>17</v>
      </c>
      <c r="K259" s="49" t="s">
        <v>16</v>
      </c>
      <c r="L259" s="29" t="s">
        <v>17</v>
      </c>
    </row>
    <row r="260" customHeight="1" spans="1:12">
      <c r="A260" s="4">
        <v>200</v>
      </c>
      <c r="B260" s="4">
        <v>259</v>
      </c>
      <c r="C260" s="31">
        <v>45543</v>
      </c>
      <c r="D260" s="32" t="s">
        <v>11</v>
      </c>
      <c r="E260" s="33">
        <v>2</v>
      </c>
      <c r="F260" s="32" t="s">
        <v>642</v>
      </c>
      <c r="G260" s="33">
        <v>113</v>
      </c>
      <c r="H260" s="18" t="s">
        <v>33</v>
      </c>
      <c r="I260" s="6" t="s">
        <v>906</v>
      </c>
      <c r="J260" s="48" t="s">
        <v>36</v>
      </c>
      <c r="K260" s="49" t="s">
        <v>16</v>
      </c>
      <c r="L260" s="29" t="s">
        <v>17</v>
      </c>
    </row>
    <row r="261" customHeight="1" spans="1:12">
      <c r="A261" s="4">
        <v>201</v>
      </c>
      <c r="B261" s="4">
        <v>260</v>
      </c>
      <c r="C261" s="31">
        <v>45543</v>
      </c>
      <c r="D261" s="32" t="s">
        <v>644</v>
      </c>
      <c r="E261" s="33">
        <v>1</v>
      </c>
      <c r="F261" s="32" t="s">
        <v>645</v>
      </c>
      <c r="G261" s="33">
        <v>113</v>
      </c>
      <c r="H261" s="18" t="s">
        <v>33</v>
      </c>
      <c r="I261" s="6" t="s">
        <v>906</v>
      </c>
      <c r="J261" s="48" t="s">
        <v>36</v>
      </c>
      <c r="K261" s="49" t="s">
        <v>16</v>
      </c>
      <c r="L261" s="29" t="s">
        <v>17</v>
      </c>
    </row>
    <row r="262" customHeight="1" spans="1:12">
      <c r="A262" s="4">
        <v>202</v>
      </c>
      <c r="B262" s="4">
        <v>261</v>
      </c>
      <c r="C262" s="31">
        <v>45543</v>
      </c>
      <c r="D262" s="32" t="s">
        <v>31</v>
      </c>
      <c r="E262" s="33">
        <v>3</v>
      </c>
      <c r="F262" s="32" t="s">
        <v>804</v>
      </c>
      <c r="G262" s="33">
        <v>173</v>
      </c>
      <c r="H262" s="18" t="s">
        <v>44</v>
      </c>
      <c r="I262" s="32" t="s">
        <v>929</v>
      </c>
      <c r="J262" s="48" t="s">
        <v>204</v>
      </c>
      <c r="K262" s="49" t="s">
        <v>16</v>
      </c>
      <c r="L262" s="29" t="s">
        <v>17</v>
      </c>
    </row>
    <row r="263" customHeight="1" spans="1:12">
      <c r="A263" s="4">
        <v>203</v>
      </c>
      <c r="B263" s="4">
        <v>262</v>
      </c>
      <c r="C263" s="31">
        <v>45543</v>
      </c>
      <c r="D263" s="32" t="s">
        <v>31</v>
      </c>
      <c r="E263" s="33">
        <v>3</v>
      </c>
      <c r="F263" s="32" t="s">
        <v>930</v>
      </c>
      <c r="G263" s="33">
        <v>143</v>
      </c>
      <c r="H263" s="18" t="s">
        <v>44</v>
      </c>
      <c r="I263" s="32" t="s">
        <v>931</v>
      </c>
      <c r="J263" s="48" t="s">
        <v>200</v>
      </c>
      <c r="K263" s="49" t="s">
        <v>16</v>
      </c>
      <c r="L263" s="29" t="s">
        <v>17</v>
      </c>
    </row>
    <row r="264" customHeight="1" spans="1:12">
      <c r="A264" s="4">
        <v>204</v>
      </c>
      <c r="B264" s="4">
        <v>263</v>
      </c>
      <c r="C264" s="31">
        <v>45543</v>
      </c>
      <c r="D264" s="32" t="s">
        <v>31</v>
      </c>
      <c r="E264" s="33">
        <v>3</v>
      </c>
      <c r="F264" s="32" t="s">
        <v>1127</v>
      </c>
      <c r="G264" s="33">
        <v>57</v>
      </c>
      <c r="H264" s="18" t="s">
        <v>73</v>
      </c>
      <c r="I264" s="6" t="s">
        <v>932</v>
      </c>
      <c r="J264" s="48" t="s">
        <v>36</v>
      </c>
      <c r="K264" s="49" t="s">
        <v>16</v>
      </c>
      <c r="L264" s="29" t="s">
        <v>17</v>
      </c>
    </row>
    <row r="265" customHeight="1" spans="1:12">
      <c r="A265" s="4">
        <v>204</v>
      </c>
      <c r="B265" s="4">
        <v>264</v>
      </c>
      <c r="C265" s="31">
        <v>45543</v>
      </c>
      <c r="D265" s="32" t="s">
        <v>31</v>
      </c>
      <c r="E265" s="33">
        <v>3</v>
      </c>
      <c r="F265" s="32" t="s">
        <v>1129</v>
      </c>
      <c r="G265" s="33">
        <v>53</v>
      </c>
      <c r="H265" s="18" t="s">
        <v>73</v>
      </c>
      <c r="I265" s="6" t="s">
        <v>932</v>
      </c>
      <c r="J265" s="48" t="s">
        <v>36</v>
      </c>
      <c r="K265" s="49" t="s">
        <v>16</v>
      </c>
      <c r="L265" s="29" t="s">
        <v>17</v>
      </c>
    </row>
    <row r="266" customHeight="1" spans="1:12">
      <c r="A266" s="4">
        <v>205</v>
      </c>
      <c r="B266" s="4">
        <v>265</v>
      </c>
      <c r="C266" s="31">
        <v>45543</v>
      </c>
      <c r="D266" s="32" t="s">
        <v>31</v>
      </c>
      <c r="E266" s="33">
        <v>3</v>
      </c>
      <c r="F266" s="32" t="s">
        <v>656</v>
      </c>
      <c r="G266" s="33">
        <v>60</v>
      </c>
      <c r="H266" s="18" t="s">
        <v>53</v>
      </c>
      <c r="I266" s="6" t="s">
        <v>931</v>
      </c>
      <c r="J266" s="48" t="s">
        <v>17</v>
      </c>
      <c r="K266" s="49" t="s">
        <v>16</v>
      </c>
      <c r="L266" s="29" t="s">
        <v>17</v>
      </c>
    </row>
    <row r="267" customHeight="1" spans="1:12">
      <c r="A267" s="4">
        <v>206</v>
      </c>
      <c r="B267" s="4">
        <v>266</v>
      </c>
      <c r="C267" s="31">
        <v>45543</v>
      </c>
      <c r="D267" s="32" t="s">
        <v>31</v>
      </c>
      <c r="E267" s="33">
        <v>3</v>
      </c>
      <c r="F267" s="32" t="s">
        <v>806</v>
      </c>
      <c r="G267" s="33">
        <v>3</v>
      </c>
      <c r="H267" s="18" t="s">
        <v>53</v>
      </c>
      <c r="I267" s="6" t="s">
        <v>905</v>
      </c>
      <c r="J267" s="48" t="s">
        <v>17</v>
      </c>
      <c r="K267" s="49" t="s">
        <v>16</v>
      </c>
      <c r="L267" s="29" t="s">
        <v>17</v>
      </c>
    </row>
    <row r="268" customHeight="1" spans="1:12">
      <c r="A268" s="4">
        <v>207</v>
      </c>
      <c r="B268" s="4">
        <v>267</v>
      </c>
      <c r="C268" s="31">
        <v>45543</v>
      </c>
      <c r="D268" s="32" t="s">
        <v>31</v>
      </c>
      <c r="E268" s="33">
        <v>3</v>
      </c>
      <c r="F268" s="32" t="s">
        <v>659</v>
      </c>
      <c r="G268" s="33">
        <v>36</v>
      </c>
      <c r="H268" s="18" t="s">
        <v>39</v>
      </c>
      <c r="I268" s="32" t="s">
        <v>933</v>
      </c>
      <c r="J268" s="48" t="s">
        <v>662</v>
      </c>
      <c r="K268" s="49" t="s">
        <v>16</v>
      </c>
      <c r="L268" s="29" t="s">
        <v>17</v>
      </c>
    </row>
    <row r="269" customHeight="1" spans="1:12">
      <c r="A269" s="4">
        <v>208</v>
      </c>
      <c r="B269" s="4">
        <v>268</v>
      </c>
      <c r="C269" s="31">
        <v>45543</v>
      </c>
      <c r="D269" s="32" t="s">
        <v>31</v>
      </c>
      <c r="E269" s="33">
        <v>3</v>
      </c>
      <c r="F269" s="32" t="s">
        <v>664</v>
      </c>
      <c r="G269" s="33">
        <v>174</v>
      </c>
      <c r="H269" s="18" t="s">
        <v>39</v>
      </c>
      <c r="I269" s="32" t="s">
        <v>891</v>
      </c>
      <c r="J269" s="48" t="s">
        <v>665</v>
      </c>
      <c r="K269" s="49" t="s">
        <v>16</v>
      </c>
      <c r="L269" s="29" t="s">
        <v>17</v>
      </c>
    </row>
    <row r="270" customHeight="1" spans="1:12">
      <c r="A270" s="4">
        <v>209</v>
      </c>
      <c r="B270" s="4">
        <v>269</v>
      </c>
      <c r="C270" s="31">
        <v>45543</v>
      </c>
      <c r="D270" s="32" t="s">
        <v>31</v>
      </c>
      <c r="E270" s="33">
        <v>3</v>
      </c>
      <c r="F270" s="32" t="s">
        <v>666</v>
      </c>
      <c r="G270" s="33">
        <v>13</v>
      </c>
      <c r="H270" s="18" t="s">
        <v>266</v>
      </c>
      <c r="I270" s="6" t="s">
        <v>877</v>
      </c>
      <c r="J270" s="48" t="s">
        <v>17</v>
      </c>
      <c r="K270" s="49" t="s">
        <v>16</v>
      </c>
      <c r="L270" s="29" t="s">
        <v>17</v>
      </c>
    </row>
    <row r="271" customHeight="1" spans="1:12">
      <c r="A271" s="4">
        <v>209</v>
      </c>
      <c r="B271" s="4">
        <v>270</v>
      </c>
      <c r="C271" s="31">
        <v>45543</v>
      </c>
      <c r="D271" s="32" t="s">
        <v>31</v>
      </c>
      <c r="E271" s="33">
        <v>3</v>
      </c>
      <c r="F271" s="32" t="s">
        <v>668</v>
      </c>
      <c r="G271" s="33">
        <v>14</v>
      </c>
      <c r="H271" s="18" t="s">
        <v>266</v>
      </c>
      <c r="I271" s="6" t="s">
        <v>877</v>
      </c>
      <c r="J271" s="48" t="s">
        <v>17</v>
      </c>
      <c r="K271" s="49" t="s">
        <v>16</v>
      </c>
      <c r="L271" s="29" t="s">
        <v>17</v>
      </c>
    </row>
    <row r="272" customHeight="1" spans="1:12">
      <c r="A272" s="4">
        <v>209</v>
      </c>
      <c r="B272" s="4">
        <v>271</v>
      </c>
      <c r="C272" s="31">
        <v>45543</v>
      </c>
      <c r="D272" s="32" t="s">
        <v>31</v>
      </c>
      <c r="E272" s="33">
        <v>3</v>
      </c>
      <c r="F272" s="32" t="s">
        <v>669</v>
      </c>
      <c r="G272" s="33">
        <v>2</v>
      </c>
      <c r="H272" s="18" t="s">
        <v>266</v>
      </c>
      <c r="I272" s="6" t="s">
        <v>877</v>
      </c>
      <c r="J272" s="48" t="s">
        <v>17</v>
      </c>
      <c r="K272" s="49" t="s">
        <v>16</v>
      </c>
      <c r="L272" s="29" t="s">
        <v>17</v>
      </c>
    </row>
    <row r="273" customHeight="1" spans="1:12">
      <c r="A273" s="4">
        <v>209</v>
      </c>
      <c r="B273" s="4">
        <v>272</v>
      </c>
      <c r="C273" s="31">
        <v>45543</v>
      </c>
      <c r="D273" s="35" t="s">
        <v>31</v>
      </c>
      <c r="E273" s="36">
        <v>3</v>
      </c>
      <c r="F273" s="35" t="s">
        <v>670</v>
      </c>
      <c r="G273" s="36">
        <v>1</v>
      </c>
      <c r="H273" s="20" t="s">
        <v>266</v>
      </c>
      <c r="I273" s="7" t="s">
        <v>877</v>
      </c>
      <c r="J273" s="50" t="s">
        <v>17</v>
      </c>
      <c r="K273" s="51" t="s">
        <v>16</v>
      </c>
      <c r="L273" s="29" t="s">
        <v>17</v>
      </c>
    </row>
    <row r="274" customHeight="1" spans="1:12">
      <c r="A274" s="4">
        <v>210</v>
      </c>
      <c r="B274" s="4">
        <v>273</v>
      </c>
      <c r="C274" s="31">
        <v>45543</v>
      </c>
      <c r="D274" s="39" t="s">
        <v>80</v>
      </c>
      <c r="E274" s="40">
        <v>2</v>
      </c>
      <c r="F274" s="39" t="s">
        <v>671</v>
      </c>
      <c r="G274" s="40">
        <v>378</v>
      </c>
      <c r="H274" s="21" t="s">
        <v>44</v>
      </c>
      <c r="I274" s="39" t="s">
        <v>934</v>
      </c>
      <c r="J274" s="55" t="s">
        <v>36</v>
      </c>
      <c r="K274" s="53" t="s">
        <v>16</v>
      </c>
      <c r="L274" s="29" t="s">
        <v>17</v>
      </c>
    </row>
    <row r="275" customHeight="1" spans="1:12">
      <c r="A275" s="4">
        <v>211</v>
      </c>
      <c r="B275" s="4">
        <v>274</v>
      </c>
      <c r="C275" s="31">
        <v>45543</v>
      </c>
      <c r="D275" s="32" t="s">
        <v>80</v>
      </c>
      <c r="E275" s="33">
        <v>2</v>
      </c>
      <c r="F275" s="32" t="s">
        <v>675</v>
      </c>
      <c r="G275" s="33">
        <v>50</v>
      </c>
      <c r="H275" s="18" t="s">
        <v>13</v>
      </c>
      <c r="I275" s="32" t="s">
        <v>880</v>
      </c>
      <c r="J275" s="48" t="s">
        <v>17</v>
      </c>
      <c r="K275" s="49" t="s">
        <v>16</v>
      </c>
      <c r="L275" s="29" t="s">
        <v>17</v>
      </c>
    </row>
    <row r="276" customHeight="1" spans="1:12">
      <c r="A276" s="4">
        <v>212</v>
      </c>
      <c r="B276" s="4">
        <v>275</v>
      </c>
      <c r="C276" s="31">
        <v>45543</v>
      </c>
      <c r="D276" s="32" t="s">
        <v>80</v>
      </c>
      <c r="E276" s="33">
        <v>2</v>
      </c>
      <c r="F276" s="32" t="s">
        <v>803</v>
      </c>
      <c r="G276" s="33">
        <v>58</v>
      </c>
      <c r="H276" s="18" t="s">
        <v>27</v>
      </c>
      <c r="I276" s="6" t="s">
        <v>868</v>
      </c>
      <c r="J276" s="48" t="s">
        <v>17</v>
      </c>
      <c r="K276" s="49" t="s">
        <v>115</v>
      </c>
      <c r="L276" s="29" t="s">
        <v>17</v>
      </c>
    </row>
    <row r="277" customHeight="1" spans="1:12">
      <c r="A277" s="4">
        <v>213</v>
      </c>
      <c r="B277" s="4">
        <v>276</v>
      </c>
      <c r="C277" s="31">
        <v>45543</v>
      </c>
      <c r="D277" s="32" t="s">
        <v>87</v>
      </c>
      <c r="E277" s="33">
        <v>3</v>
      </c>
      <c r="F277" s="32" t="s">
        <v>809</v>
      </c>
      <c r="G277" s="33">
        <v>14</v>
      </c>
      <c r="H277" s="18" t="s">
        <v>49</v>
      </c>
      <c r="I277" s="32" t="s">
        <v>926</v>
      </c>
      <c r="J277" s="48" t="s">
        <v>17</v>
      </c>
      <c r="K277" s="49" t="s">
        <v>16</v>
      </c>
      <c r="L277" s="29" t="s">
        <v>17</v>
      </c>
    </row>
    <row r="278" customHeight="1" spans="1:12">
      <c r="A278" s="4">
        <v>214</v>
      </c>
      <c r="B278" s="4">
        <v>277</v>
      </c>
      <c r="C278" s="31">
        <v>45543</v>
      </c>
      <c r="D278" s="32" t="s">
        <v>87</v>
      </c>
      <c r="E278" s="33">
        <v>3</v>
      </c>
      <c r="F278" s="32" t="s">
        <v>681</v>
      </c>
      <c r="G278" s="33">
        <v>22</v>
      </c>
      <c r="H278" s="18" t="s">
        <v>49</v>
      </c>
      <c r="I278" s="6" t="s">
        <v>882</v>
      </c>
      <c r="J278" s="48" t="s">
        <v>17</v>
      </c>
      <c r="K278" s="49" t="s">
        <v>16</v>
      </c>
      <c r="L278" s="29" t="s">
        <v>17</v>
      </c>
    </row>
    <row r="279" customHeight="1" spans="1:12">
      <c r="A279" s="4">
        <v>215</v>
      </c>
      <c r="B279" s="4">
        <v>278</v>
      </c>
      <c r="C279" s="31">
        <v>45543</v>
      </c>
      <c r="D279" s="32" t="s">
        <v>87</v>
      </c>
      <c r="E279" s="33">
        <v>3</v>
      </c>
      <c r="F279" s="32" t="s">
        <v>810</v>
      </c>
      <c r="G279" s="33">
        <v>12</v>
      </c>
      <c r="H279" s="18" t="s">
        <v>49</v>
      </c>
      <c r="I279" s="32" t="s">
        <v>923</v>
      </c>
      <c r="J279" s="48" t="s">
        <v>17</v>
      </c>
      <c r="K279" s="49" t="s">
        <v>16</v>
      </c>
      <c r="L279" s="29" t="s">
        <v>17</v>
      </c>
    </row>
    <row r="280" customHeight="1" spans="1:12">
      <c r="A280" s="4">
        <v>216</v>
      </c>
      <c r="B280" s="4">
        <v>279</v>
      </c>
      <c r="C280" s="31">
        <v>45543</v>
      </c>
      <c r="D280" s="32" t="s">
        <v>87</v>
      </c>
      <c r="E280" s="33">
        <v>3</v>
      </c>
      <c r="F280" s="32" t="s">
        <v>1137</v>
      </c>
      <c r="G280" s="33">
        <v>5</v>
      </c>
      <c r="H280" s="18" t="s">
        <v>685</v>
      </c>
      <c r="I280" s="6" t="s">
        <v>869</v>
      </c>
      <c r="J280" s="48" t="s">
        <v>17</v>
      </c>
      <c r="K280" s="49" t="s">
        <v>16</v>
      </c>
      <c r="L280" s="29" t="s">
        <v>17</v>
      </c>
    </row>
    <row r="281" customHeight="1" spans="1:12">
      <c r="A281" s="4">
        <v>217</v>
      </c>
      <c r="B281" s="4">
        <v>280</v>
      </c>
      <c r="C281" s="31">
        <v>45543</v>
      </c>
      <c r="D281" s="32" t="s">
        <v>87</v>
      </c>
      <c r="E281" s="33">
        <v>3</v>
      </c>
      <c r="F281" s="32" t="s">
        <v>812</v>
      </c>
      <c r="G281" s="33">
        <v>2</v>
      </c>
      <c r="H281" s="18" t="s">
        <v>77</v>
      </c>
      <c r="I281" s="6" t="s">
        <v>935</v>
      </c>
      <c r="J281" s="48" t="s">
        <v>17</v>
      </c>
      <c r="K281" s="49" t="s">
        <v>16</v>
      </c>
      <c r="L281" s="29" t="s">
        <v>17</v>
      </c>
    </row>
    <row r="282" customHeight="1" spans="1:12">
      <c r="A282" s="4">
        <v>218</v>
      </c>
      <c r="B282" s="4">
        <v>281</v>
      </c>
      <c r="C282" s="31">
        <v>45543</v>
      </c>
      <c r="D282" s="32" t="s">
        <v>87</v>
      </c>
      <c r="E282" s="33">
        <v>3</v>
      </c>
      <c r="F282" s="32" t="s">
        <v>690</v>
      </c>
      <c r="G282" s="33">
        <v>94</v>
      </c>
      <c r="H282" s="18" t="s">
        <v>77</v>
      </c>
      <c r="I282" s="6" t="s">
        <v>936</v>
      </c>
      <c r="J282" s="48" t="s">
        <v>17</v>
      </c>
      <c r="K282" s="49" t="s">
        <v>16</v>
      </c>
      <c r="L282" s="29" t="s">
        <v>17</v>
      </c>
    </row>
    <row r="283" customHeight="1" spans="1:12">
      <c r="A283" s="4">
        <v>219</v>
      </c>
      <c r="B283" s="4">
        <v>282</v>
      </c>
      <c r="C283" s="31">
        <v>45543</v>
      </c>
      <c r="D283" s="32" t="s">
        <v>87</v>
      </c>
      <c r="E283" s="33">
        <v>3</v>
      </c>
      <c r="F283" s="32" t="s">
        <v>669</v>
      </c>
      <c r="G283" s="33">
        <v>2</v>
      </c>
      <c r="H283" s="18" t="s">
        <v>266</v>
      </c>
      <c r="I283" s="6" t="s">
        <v>877</v>
      </c>
      <c r="J283" s="48" t="s">
        <v>17</v>
      </c>
      <c r="K283" s="49" t="s">
        <v>16</v>
      </c>
      <c r="L283" s="29" t="s">
        <v>17</v>
      </c>
    </row>
    <row r="284" customHeight="1" spans="1:12">
      <c r="A284" s="4">
        <v>219</v>
      </c>
      <c r="B284" s="4">
        <v>283</v>
      </c>
      <c r="C284" s="31">
        <v>45543</v>
      </c>
      <c r="D284" s="32" t="s">
        <v>87</v>
      </c>
      <c r="E284" s="33">
        <v>3</v>
      </c>
      <c r="F284" s="32" t="s">
        <v>666</v>
      </c>
      <c r="G284" s="33">
        <v>13</v>
      </c>
      <c r="H284" s="18" t="s">
        <v>266</v>
      </c>
      <c r="I284" s="6" t="s">
        <v>877</v>
      </c>
      <c r="J284" s="48" t="s">
        <v>17</v>
      </c>
      <c r="K284" s="49" t="s">
        <v>16</v>
      </c>
      <c r="L284" s="29" t="s">
        <v>17</v>
      </c>
    </row>
    <row r="285" customHeight="1" spans="1:12">
      <c r="A285" s="4">
        <v>219</v>
      </c>
      <c r="B285" s="4">
        <v>284</v>
      </c>
      <c r="C285" s="31">
        <v>45543</v>
      </c>
      <c r="D285" s="32" t="s">
        <v>87</v>
      </c>
      <c r="E285" s="33">
        <v>3</v>
      </c>
      <c r="F285" s="32" t="s">
        <v>668</v>
      </c>
      <c r="G285" s="33">
        <v>14</v>
      </c>
      <c r="H285" s="18" t="s">
        <v>266</v>
      </c>
      <c r="I285" s="6" t="s">
        <v>877</v>
      </c>
      <c r="J285" s="48" t="s">
        <v>17</v>
      </c>
      <c r="K285" s="49" t="s">
        <v>16</v>
      </c>
      <c r="L285" s="29" t="s">
        <v>17</v>
      </c>
    </row>
    <row r="286" customHeight="1" spans="1:12">
      <c r="A286" s="4">
        <v>219</v>
      </c>
      <c r="B286" s="4">
        <v>285</v>
      </c>
      <c r="C286" s="37">
        <v>45543</v>
      </c>
      <c r="D286" s="35" t="s">
        <v>87</v>
      </c>
      <c r="E286" s="36">
        <v>3</v>
      </c>
      <c r="F286" s="35" t="s">
        <v>670</v>
      </c>
      <c r="G286" s="36">
        <v>1</v>
      </c>
      <c r="H286" s="20" t="s">
        <v>266</v>
      </c>
      <c r="I286" s="7" t="s">
        <v>877</v>
      </c>
      <c r="J286" s="50" t="s">
        <v>17</v>
      </c>
      <c r="K286" s="51" t="s">
        <v>115</v>
      </c>
      <c r="L286" s="29" t="s">
        <v>17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6"/>
  <sheetViews>
    <sheetView workbookViewId="0">
      <selection activeCell="B3" sqref="B3"/>
    </sheetView>
  </sheetViews>
  <sheetFormatPr defaultColWidth="9" defaultRowHeight="14.4" outlineLevelCol="4"/>
  <cols>
    <col min="1" max="1" width="17.25" customWidth="1"/>
    <col min="2" max="2" width="24.3796296296296" customWidth="1"/>
    <col min="3" max="3" width="12.1296296296296" customWidth="1"/>
    <col min="5" max="5" width="45.75" style="10" customWidth="1"/>
  </cols>
  <sheetData>
    <row r="1" ht="20.4" spans="1:5">
      <c r="A1" s="12" t="s">
        <v>1165</v>
      </c>
      <c r="B1" s="12" t="s">
        <v>1166</v>
      </c>
      <c r="C1" s="12" t="s">
        <v>1167</v>
      </c>
      <c r="E1" s="3" t="s">
        <v>7</v>
      </c>
    </row>
    <row r="2" ht="20.4" spans="1:5">
      <c r="A2" s="16" t="s">
        <v>1168</v>
      </c>
      <c r="B2" s="16" t="s">
        <v>1169</v>
      </c>
      <c r="C2" s="16">
        <v>160</v>
      </c>
      <c r="E2" s="14" t="s">
        <v>1170</v>
      </c>
    </row>
    <row r="3" ht="20.4" spans="1:5">
      <c r="A3" s="16" t="s">
        <v>1171</v>
      </c>
      <c r="B3" s="16" t="s">
        <v>1172</v>
      </c>
      <c r="C3" s="16">
        <v>160</v>
      </c>
      <c r="E3" s="18" t="s">
        <v>13</v>
      </c>
    </row>
    <row r="4" ht="20.4" spans="1:5">
      <c r="A4" s="16" t="s">
        <v>1173</v>
      </c>
      <c r="B4" s="16" t="s">
        <v>1174</v>
      </c>
      <c r="C4" s="16">
        <v>266</v>
      </c>
      <c r="E4" s="18" t="s">
        <v>24</v>
      </c>
    </row>
    <row r="5" ht="20.4" spans="1:5">
      <c r="A5" s="16" t="s">
        <v>1175</v>
      </c>
      <c r="B5" s="16" t="s">
        <v>1176</v>
      </c>
      <c r="C5" s="16">
        <v>414</v>
      </c>
      <c r="E5" s="18" t="s">
        <v>27</v>
      </c>
    </row>
    <row r="6" ht="20.4" spans="1:5">
      <c r="A6" s="16" t="s">
        <v>1177</v>
      </c>
      <c r="B6" s="16" t="s">
        <v>1178</v>
      </c>
      <c r="C6" s="16">
        <v>280</v>
      </c>
      <c r="E6" s="18" t="s">
        <v>27</v>
      </c>
    </row>
    <row r="7" ht="20.4" spans="1:5">
      <c r="A7" s="16" t="s">
        <v>1179</v>
      </c>
      <c r="B7" s="16" t="s">
        <v>1180</v>
      </c>
      <c r="C7" s="16">
        <v>91</v>
      </c>
      <c r="E7" s="18" t="s">
        <v>27</v>
      </c>
    </row>
    <row r="8" ht="20.4" spans="1:5">
      <c r="A8" s="16" t="s">
        <v>1181</v>
      </c>
      <c r="B8" s="16" t="s">
        <v>1170</v>
      </c>
      <c r="C8" s="16">
        <v>72</v>
      </c>
      <c r="E8" s="18" t="s">
        <v>33</v>
      </c>
    </row>
    <row r="9" ht="20.4" spans="1:5">
      <c r="A9" s="16" t="s">
        <v>1182</v>
      </c>
      <c r="B9" s="16" t="s">
        <v>1183</v>
      </c>
      <c r="C9" s="16">
        <v>72</v>
      </c>
      <c r="E9" s="18" t="s">
        <v>39</v>
      </c>
    </row>
    <row r="10" ht="20.4" spans="1:5">
      <c r="A10" s="16" t="s">
        <v>1184</v>
      </c>
      <c r="B10" s="16" t="s">
        <v>1185</v>
      </c>
      <c r="C10" s="16">
        <v>72</v>
      </c>
      <c r="E10" s="18" t="s">
        <v>44</v>
      </c>
    </row>
    <row r="11" ht="20.4" spans="1:5">
      <c r="A11" s="16" t="s">
        <v>1186</v>
      </c>
      <c r="B11" s="16" t="s">
        <v>1187</v>
      </c>
      <c r="C11" s="16">
        <v>72</v>
      </c>
      <c r="E11" s="18" t="s">
        <v>49</v>
      </c>
    </row>
    <row r="12" ht="20.4" spans="1:5">
      <c r="A12" s="16" t="s">
        <v>1188</v>
      </c>
      <c r="B12" s="16" t="s">
        <v>1189</v>
      </c>
      <c r="C12" s="16">
        <v>30</v>
      </c>
      <c r="E12" s="18" t="s">
        <v>53</v>
      </c>
    </row>
    <row r="13" ht="20.4" spans="1:5">
      <c r="A13" s="16" t="s">
        <v>1190</v>
      </c>
      <c r="B13" s="16" t="s">
        <v>1191</v>
      </c>
      <c r="C13" s="16">
        <v>40</v>
      </c>
      <c r="E13" s="18" t="s">
        <v>58</v>
      </c>
    </row>
    <row r="14" ht="20.4" spans="1:5">
      <c r="A14" s="16" t="s">
        <v>1192</v>
      </c>
      <c r="B14" s="16" t="s">
        <v>1193</v>
      </c>
      <c r="C14" s="16">
        <v>35</v>
      </c>
      <c r="E14" s="18" t="s">
        <v>63</v>
      </c>
    </row>
    <row r="15" ht="20.4" spans="1:5">
      <c r="A15" s="16" t="s">
        <v>1194</v>
      </c>
      <c r="B15" s="16" t="s">
        <v>1195</v>
      </c>
      <c r="C15" s="16">
        <v>64</v>
      </c>
      <c r="E15" s="18" t="s">
        <v>68</v>
      </c>
    </row>
    <row r="16" ht="20.4" spans="1:5">
      <c r="A16" s="16" t="s">
        <v>1196</v>
      </c>
      <c r="B16" s="16" t="s">
        <v>1197</v>
      </c>
      <c r="C16" s="16">
        <v>79</v>
      </c>
      <c r="E16" s="18" t="s">
        <v>68</v>
      </c>
    </row>
    <row r="17" ht="20.4" spans="1:5">
      <c r="A17" s="16" t="s">
        <v>1198</v>
      </c>
      <c r="B17" s="16" t="s">
        <v>1199</v>
      </c>
      <c r="C17" s="16">
        <v>48</v>
      </c>
      <c r="E17" s="18" t="s">
        <v>73</v>
      </c>
    </row>
    <row r="18" ht="20.4" spans="1:5">
      <c r="A18" s="16" t="s">
        <v>1200</v>
      </c>
      <c r="B18" s="16" t="s">
        <v>1201</v>
      </c>
      <c r="C18" s="16">
        <v>40</v>
      </c>
      <c r="E18" s="20" t="s">
        <v>77</v>
      </c>
    </row>
    <row r="19" ht="20.4" spans="1:5">
      <c r="A19" s="16" t="s">
        <v>1202</v>
      </c>
      <c r="B19" s="16" t="s">
        <v>1203</v>
      </c>
      <c r="C19" s="16">
        <v>24</v>
      </c>
      <c r="E19" s="18" t="s">
        <v>44</v>
      </c>
    </row>
    <row r="20" ht="20.4" spans="1:5">
      <c r="A20" s="16" t="s">
        <v>1204</v>
      </c>
      <c r="B20" s="16" t="s">
        <v>1205</v>
      </c>
      <c r="C20" s="16">
        <v>24</v>
      </c>
      <c r="E20" s="18" t="s">
        <v>63</v>
      </c>
    </row>
    <row r="21" ht="20.4" spans="1:5">
      <c r="A21" s="16" t="s">
        <v>1206</v>
      </c>
      <c r="B21" s="16" t="s">
        <v>1207</v>
      </c>
      <c r="C21" s="16">
        <v>24</v>
      </c>
      <c r="E21" s="18" t="s">
        <v>13</v>
      </c>
    </row>
    <row r="22" ht="20.4" spans="1:5">
      <c r="A22" s="16" t="s">
        <v>1208</v>
      </c>
      <c r="B22" s="16" t="s">
        <v>1209</v>
      </c>
      <c r="C22" s="16">
        <v>20</v>
      </c>
      <c r="E22" s="18" t="s">
        <v>49</v>
      </c>
    </row>
    <row r="23" ht="20.4" spans="1:5">
      <c r="A23" s="16" t="s">
        <v>1210</v>
      </c>
      <c r="B23" s="16" t="s">
        <v>1211</v>
      </c>
      <c r="C23" s="16">
        <v>35</v>
      </c>
      <c r="E23" s="18" t="s">
        <v>53</v>
      </c>
    </row>
    <row r="24" ht="20.4" spans="1:5">
      <c r="A24" s="16" t="s">
        <v>1212</v>
      </c>
      <c r="B24" s="16" t="s">
        <v>1213</v>
      </c>
      <c r="C24" s="16">
        <v>36</v>
      </c>
      <c r="E24" s="18" t="s">
        <v>58</v>
      </c>
    </row>
    <row r="25" ht="20.4" spans="1:5">
      <c r="A25" s="16" t="s">
        <v>1214</v>
      </c>
      <c r="B25" s="16" t="s">
        <v>1215</v>
      </c>
      <c r="C25" s="16">
        <v>36</v>
      </c>
      <c r="E25" s="18" t="s">
        <v>33</v>
      </c>
    </row>
    <row r="26" ht="20.4" spans="1:5">
      <c r="A26" s="16" t="s">
        <v>1216</v>
      </c>
      <c r="B26" s="16" t="s">
        <v>1217</v>
      </c>
      <c r="C26" s="16">
        <v>48</v>
      </c>
      <c r="E26" s="18" t="s">
        <v>33</v>
      </c>
    </row>
    <row r="27" ht="20.4" spans="1:5">
      <c r="A27" s="16" t="s">
        <v>1218</v>
      </c>
      <c r="B27" s="16" t="s">
        <v>1219</v>
      </c>
      <c r="C27" s="16">
        <v>69</v>
      </c>
      <c r="E27" s="18" t="s">
        <v>33</v>
      </c>
    </row>
    <row r="28" ht="20.4" spans="1:5">
      <c r="A28" s="16" t="s">
        <v>1220</v>
      </c>
      <c r="B28" s="16" t="s">
        <v>1221</v>
      </c>
      <c r="C28" s="16">
        <v>80</v>
      </c>
      <c r="E28" s="18" t="s">
        <v>104</v>
      </c>
    </row>
    <row r="29" ht="20.4" spans="1:5">
      <c r="A29" s="16" t="s">
        <v>1222</v>
      </c>
      <c r="B29" s="16" t="s">
        <v>1223</v>
      </c>
      <c r="C29" s="16">
        <v>60</v>
      </c>
      <c r="E29" s="18" t="s">
        <v>39</v>
      </c>
    </row>
    <row r="30" ht="20.4" spans="1:5">
      <c r="A30" s="16" t="s">
        <v>1224</v>
      </c>
      <c r="B30" s="16" t="s">
        <v>1225</v>
      </c>
      <c r="C30" s="16">
        <v>48</v>
      </c>
      <c r="E30" s="18" t="s">
        <v>77</v>
      </c>
    </row>
    <row r="31" ht="20.4" spans="1:5">
      <c r="A31" s="16" t="s">
        <v>1226</v>
      </c>
      <c r="B31" s="16" t="s">
        <v>1227</v>
      </c>
      <c r="C31" s="16">
        <v>88</v>
      </c>
      <c r="E31" s="18" t="s">
        <v>68</v>
      </c>
    </row>
    <row r="32" ht="20.4" spans="1:5">
      <c r="A32" s="16" t="s">
        <v>1228</v>
      </c>
      <c r="B32" s="16" t="s">
        <v>1229</v>
      </c>
      <c r="C32" s="16">
        <v>50</v>
      </c>
      <c r="E32" s="18" t="s">
        <v>68</v>
      </c>
    </row>
    <row r="33" ht="20.4" spans="1:5">
      <c r="A33" s="16" t="s">
        <v>1230</v>
      </c>
      <c r="B33" s="16" t="s">
        <v>1231</v>
      </c>
      <c r="C33" s="16">
        <v>60</v>
      </c>
      <c r="E33" s="18" t="s">
        <v>73</v>
      </c>
    </row>
    <row r="34" ht="20.4" spans="5:5">
      <c r="E34" s="18" t="s">
        <v>73</v>
      </c>
    </row>
    <row r="35" ht="20.4" spans="5:5">
      <c r="E35" s="20" t="s">
        <v>73</v>
      </c>
    </row>
    <row r="36" ht="20.4" spans="5:5">
      <c r="E36" s="21" t="s">
        <v>33</v>
      </c>
    </row>
    <row r="37" ht="20.4" spans="5:5">
      <c r="E37" s="18" t="s">
        <v>33</v>
      </c>
    </row>
    <row r="38" ht="20.4" spans="5:5">
      <c r="E38" s="18" t="s">
        <v>135</v>
      </c>
    </row>
    <row r="39" ht="20.4" spans="5:5">
      <c r="E39" s="18" t="s">
        <v>24</v>
      </c>
    </row>
    <row r="40" ht="20.4" spans="5:5">
      <c r="E40" s="18" t="s">
        <v>27</v>
      </c>
    </row>
    <row r="41" ht="20.4" spans="5:5">
      <c r="E41" s="18" t="s">
        <v>27</v>
      </c>
    </row>
    <row r="42" ht="20.4" spans="5:5">
      <c r="E42" s="18" t="s">
        <v>44</v>
      </c>
    </row>
    <row r="43" ht="20.4" spans="5:5">
      <c r="E43" s="18" t="s">
        <v>44</v>
      </c>
    </row>
    <row r="44" ht="20.4" spans="5:5">
      <c r="E44" s="18" t="s">
        <v>13</v>
      </c>
    </row>
    <row r="45" ht="20.4" spans="5:5">
      <c r="E45" s="18" t="s">
        <v>73</v>
      </c>
    </row>
    <row r="46" ht="20.4" spans="5:5">
      <c r="E46" s="18" t="s">
        <v>73</v>
      </c>
    </row>
    <row r="47" ht="20.4" spans="5:5">
      <c r="E47" s="18" t="s">
        <v>68</v>
      </c>
    </row>
    <row r="48" ht="20.4" spans="5:5">
      <c r="E48" s="18" t="s">
        <v>163</v>
      </c>
    </row>
    <row r="49" ht="20.4" spans="5:5">
      <c r="E49" s="18" t="s">
        <v>39</v>
      </c>
    </row>
    <row r="50" ht="20.4" spans="5:5">
      <c r="E50" s="22" t="s">
        <v>39</v>
      </c>
    </row>
    <row r="51" ht="20.4" spans="5:5">
      <c r="E51" s="20" t="s">
        <v>176</v>
      </c>
    </row>
    <row r="52" ht="20.4" spans="5:5">
      <c r="E52" s="21" t="s">
        <v>44</v>
      </c>
    </row>
    <row r="53" ht="20.4" spans="5:5">
      <c r="E53" s="18" t="s">
        <v>13</v>
      </c>
    </row>
    <row r="54" ht="20.4" spans="5:5">
      <c r="E54" s="18" t="s">
        <v>49</v>
      </c>
    </row>
    <row r="55" ht="20.4" spans="5:5">
      <c r="E55" s="18" t="s">
        <v>49</v>
      </c>
    </row>
    <row r="56" ht="20.4" spans="5:5">
      <c r="E56" s="18" t="s">
        <v>53</v>
      </c>
    </row>
    <row r="57" ht="20.4" spans="5:5">
      <c r="E57" s="21" t="s">
        <v>27</v>
      </c>
    </row>
    <row r="58" ht="20.4" spans="5:5">
      <c r="E58" s="18" t="s">
        <v>73</v>
      </c>
    </row>
    <row r="59" ht="20.4" spans="5:5">
      <c r="E59" s="18" t="s">
        <v>73</v>
      </c>
    </row>
    <row r="60" ht="20.4" spans="5:5">
      <c r="E60" s="18" t="s">
        <v>73</v>
      </c>
    </row>
    <row r="61" ht="20.4" spans="5:5">
      <c r="E61" s="18" t="s">
        <v>39</v>
      </c>
    </row>
    <row r="62" ht="20.4" spans="5:5">
      <c r="E62" s="18" t="s">
        <v>39</v>
      </c>
    </row>
    <row r="63" ht="20.4" spans="5:5">
      <c r="E63" s="18" t="s">
        <v>39</v>
      </c>
    </row>
    <row r="64" ht="20.4" spans="5:5">
      <c r="E64" s="22" t="s">
        <v>39</v>
      </c>
    </row>
    <row r="65" ht="20.4" spans="5:5">
      <c r="E65" s="23" t="s">
        <v>207</v>
      </c>
    </row>
    <row r="66" ht="20.4" spans="5:5">
      <c r="E66" s="21" t="s">
        <v>27</v>
      </c>
    </row>
    <row r="67" ht="20.4" spans="5:5">
      <c r="E67" s="18" t="s">
        <v>77</v>
      </c>
    </row>
    <row r="68" ht="20.4" spans="5:5">
      <c r="E68" s="18" t="s">
        <v>44</v>
      </c>
    </row>
    <row r="69" ht="20.4" spans="5:5">
      <c r="E69" s="18" t="s">
        <v>58</v>
      </c>
    </row>
    <row r="70" ht="20.4" spans="5:5">
      <c r="E70" s="18" t="s">
        <v>33</v>
      </c>
    </row>
    <row r="71" ht="20.4" spans="5:5">
      <c r="E71" s="18" t="s">
        <v>73</v>
      </c>
    </row>
    <row r="72" ht="20.4" spans="5:5">
      <c r="E72" s="18" t="s">
        <v>73</v>
      </c>
    </row>
    <row r="73" ht="20.4" spans="5:5">
      <c r="E73" s="18" t="s">
        <v>49</v>
      </c>
    </row>
    <row r="74" ht="20.4" spans="5:5">
      <c r="E74" s="18" t="s">
        <v>53</v>
      </c>
    </row>
    <row r="75" ht="20.4" spans="5:5">
      <c r="E75" s="18" t="s">
        <v>53</v>
      </c>
    </row>
    <row r="76" ht="20.4" spans="5:5">
      <c r="E76" s="18" t="s">
        <v>24</v>
      </c>
    </row>
    <row r="77" ht="20.4" spans="5:5">
      <c r="E77" s="18" t="s">
        <v>135</v>
      </c>
    </row>
    <row r="78" ht="20.4" spans="5:5">
      <c r="E78" s="18" t="s">
        <v>135</v>
      </c>
    </row>
    <row r="79" ht="20.4" spans="5:5">
      <c r="E79" s="18" t="s">
        <v>104</v>
      </c>
    </row>
    <row r="80" ht="20.4" spans="5:5">
      <c r="E80" s="18" t="s">
        <v>246</v>
      </c>
    </row>
    <row r="81" ht="20.4" spans="5:5">
      <c r="E81" s="18" t="s">
        <v>39</v>
      </c>
    </row>
    <row r="82" ht="20.4" spans="5:5">
      <c r="E82" s="18" t="s">
        <v>39</v>
      </c>
    </row>
    <row r="83" ht="20.4" spans="5:5">
      <c r="E83" s="18" t="s">
        <v>39</v>
      </c>
    </row>
    <row r="84" ht="20.4" spans="5:5">
      <c r="E84" s="18" t="s">
        <v>104</v>
      </c>
    </row>
    <row r="85" ht="20.4" spans="5:5">
      <c r="E85" s="18" t="s">
        <v>63</v>
      </c>
    </row>
    <row r="86" ht="20.4" spans="5:5">
      <c r="E86" s="18" t="s">
        <v>53</v>
      </c>
    </row>
    <row r="87" ht="20.4" spans="5:5">
      <c r="E87" s="18" t="s">
        <v>266</v>
      </c>
    </row>
    <row r="88" ht="20.4" spans="5:5">
      <c r="E88" s="18" t="s">
        <v>68</v>
      </c>
    </row>
    <row r="89" ht="20.4" spans="5:5">
      <c r="E89" s="20" t="s">
        <v>163</v>
      </c>
    </row>
    <row r="90" ht="20.4" spans="5:5">
      <c r="E90" s="21" t="s">
        <v>44</v>
      </c>
    </row>
    <row r="91" ht="20.4" spans="5:5">
      <c r="E91" s="18" t="s">
        <v>44</v>
      </c>
    </row>
    <row r="92" ht="20.4" spans="5:5">
      <c r="E92" s="18" t="s">
        <v>44</v>
      </c>
    </row>
    <row r="93" ht="20.4" spans="5:5">
      <c r="E93" s="18" t="s">
        <v>13</v>
      </c>
    </row>
    <row r="94" ht="20.4" spans="5:5">
      <c r="E94" s="18" t="s">
        <v>13</v>
      </c>
    </row>
    <row r="95" ht="20.4" spans="5:5">
      <c r="E95" s="18" t="s">
        <v>39</v>
      </c>
    </row>
    <row r="96" ht="20.4" spans="5:5">
      <c r="E96" s="18" t="s">
        <v>58</v>
      </c>
    </row>
    <row r="97" ht="20.4" spans="5:5">
      <c r="E97" s="18" t="s">
        <v>33</v>
      </c>
    </row>
    <row r="98" ht="20.4" spans="5:5">
      <c r="E98" s="18" t="s">
        <v>73</v>
      </c>
    </row>
    <row r="99" ht="20.4" spans="5:5">
      <c r="E99" s="18" t="s">
        <v>77</v>
      </c>
    </row>
    <row r="100" ht="20.4" spans="5:5">
      <c r="E100" s="18" t="s">
        <v>77</v>
      </c>
    </row>
    <row r="101" ht="20.4" spans="5:5">
      <c r="E101" s="18" t="s">
        <v>63</v>
      </c>
    </row>
    <row r="102" ht="20.4" spans="5:5">
      <c r="E102" s="18" t="s">
        <v>104</v>
      </c>
    </row>
    <row r="103" ht="20.4" spans="5:5">
      <c r="E103" s="18" t="s">
        <v>301</v>
      </c>
    </row>
    <row r="104" ht="20.4" spans="5:5">
      <c r="E104" s="18" t="s">
        <v>49</v>
      </c>
    </row>
    <row r="105" ht="20.4" spans="5:5">
      <c r="E105" s="18" t="s">
        <v>53</v>
      </c>
    </row>
    <row r="106" ht="20.4" spans="5:5">
      <c r="E106" s="18" t="s">
        <v>53</v>
      </c>
    </row>
    <row r="107" ht="20.4" spans="5:5">
      <c r="E107" s="18" t="s">
        <v>246</v>
      </c>
    </row>
    <row r="108" ht="20.4" spans="5:5">
      <c r="E108" s="18" t="s">
        <v>266</v>
      </c>
    </row>
    <row r="109" ht="20.4" spans="5:5">
      <c r="E109" s="18" t="s">
        <v>315</v>
      </c>
    </row>
    <row r="110" ht="20.4" spans="5:5">
      <c r="E110" s="18" t="s">
        <v>163</v>
      </c>
    </row>
    <row r="111" ht="20.4" spans="5:5">
      <c r="E111" s="18" t="s">
        <v>24</v>
      </c>
    </row>
    <row r="112" ht="20.4" spans="5:5">
      <c r="E112" s="20" t="s">
        <v>27</v>
      </c>
    </row>
    <row r="113" ht="20.4" spans="5:5">
      <c r="E113" s="21" t="s">
        <v>77</v>
      </c>
    </row>
    <row r="114" ht="20.4" spans="5:5">
      <c r="E114" s="18" t="s">
        <v>77</v>
      </c>
    </row>
    <row r="115" ht="20.4" spans="5:5">
      <c r="E115" s="18" t="s">
        <v>77</v>
      </c>
    </row>
    <row r="116" ht="20.4" spans="5:5">
      <c r="E116" s="18" t="s">
        <v>49</v>
      </c>
    </row>
    <row r="117" ht="20.4" spans="5:5">
      <c r="E117" s="18" t="s">
        <v>49</v>
      </c>
    </row>
    <row r="118" ht="20.4" spans="5:5">
      <c r="E118" s="18" t="s">
        <v>13</v>
      </c>
    </row>
    <row r="119" ht="20.4" spans="5:5">
      <c r="E119" s="18" t="s">
        <v>13</v>
      </c>
    </row>
    <row r="120" ht="20.4" spans="5:5">
      <c r="E120" s="18" t="s">
        <v>13</v>
      </c>
    </row>
    <row r="121" ht="20.4" spans="5:5">
      <c r="E121" s="18" t="s">
        <v>53</v>
      </c>
    </row>
    <row r="122" ht="20.4" spans="5:5">
      <c r="E122" s="18" t="s">
        <v>24</v>
      </c>
    </row>
    <row r="123" ht="20.4" spans="5:5">
      <c r="E123" s="18" t="s">
        <v>63</v>
      </c>
    </row>
    <row r="124" ht="20.4" spans="5:5">
      <c r="E124" s="18" t="s">
        <v>73</v>
      </c>
    </row>
    <row r="125" ht="20.4" spans="5:5">
      <c r="E125" s="18" t="s">
        <v>73</v>
      </c>
    </row>
    <row r="126" ht="20.4" spans="5:5">
      <c r="E126" s="18" t="s">
        <v>315</v>
      </c>
    </row>
    <row r="127" ht="20.4" spans="5:5">
      <c r="E127" s="18" t="s">
        <v>33</v>
      </c>
    </row>
    <row r="128" ht="20.4" spans="5:5">
      <c r="E128" s="20" t="s">
        <v>33</v>
      </c>
    </row>
    <row r="129" ht="20.4" spans="5:5">
      <c r="E129" s="21" t="s">
        <v>163</v>
      </c>
    </row>
    <row r="130" ht="20.4" spans="5:5">
      <c r="E130" s="18" t="s">
        <v>58</v>
      </c>
    </row>
    <row r="131" ht="20.4" spans="5:5">
      <c r="E131" s="18" t="s">
        <v>58</v>
      </c>
    </row>
    <row r="132" ht="20.4" spans="5:5">
      <c r="E132" s="18" t="s">
        <v>77</v>
      </c>
    </row>
    <row r="133" ht="20.4" spans="5:5">
      <c r="E133" s="18" t="s">
        <v>77</v>
      </c>
    </row>
    <row r="134" ht="20.4" spans="5:5">
      <c r="E134" s="18" t="s">
        <v>33</v>
      </c>
    </row>
    <row r="135" ht="20.4" spans="5:5">
      <c r="E135" s="18" t="s">
        <v>33</v>
      </c>
    </row>
    <row r="136" ht="20.4" spans="5:5">
      <c r="E136" s="18" t="s">
        <v>27</v>
      </c>
    </row>
    <row r="137" ht="20.4" spans="5:5">
      <c r="E137" s="18" t="s">
        <v>13</v>
      </c>
    </row>
    <row r="138" ht="20.4" spans="5:5">
      <c r="E138" s="18" t="s">
        <v>73</v>
      </c>
    </row>
    <row r="139" ht="20.4" spans="5:5">
      <c r="E139" s="18" t="s">
        <v>73</v>
      </c>
    </row>
    <row r="140" ht="20.4" spans="5:5">
      <c r="E140" s="18" t="s">
        <v>73</v>
      </c>
    </row>
    <row r="141" ht="20.4" spans="5:5">
      <c r="E141" s="18" t="s">
        <v>73</v>
      </c>
    </row>
    <row r="142" ht="20.4" spans="5:5">
      <c r="E142" s="20" t="s">
        <v>315</v>
      </c>
    </row>
    <row r="143" ht="20.4" spans="5:5">
      <c r="E143" s="21" t="s">
        <v>49</v>
      </c>
    </row>
    <row r="144" ht="20.4" spans="5:5">
      <c r="E144" s="18" t="s">
        <v>13</v>
      </c>
    </row>
    <row r="145" ht="20.4" spans="5:5">
      <c r="E145" s="18" t="s">
        <v>13</v>
      </c>
    </row>
    <row r="146" ht="20.4" spans="5:5">
      <c r="E146" s="18" t="s">
        <v>44</v>
      </c>
    </row>
    <row r="147" ht="20.4" spans="5:5">
      <c r="E147" s="18" t="s">
        <v>39</v>
      </c>
    </row>
    <row r="148" ht="20.4" spans="5:5">
      <c r="E148" s="18" t="s">
        <v>24</v>
      </c>
    </row>
    <row r="149" ht="20.4" spans="5:5">
      <c r="E149" s="18" t="s">
        <v>77</v>
      </c>
    </row>
    <row r="150" ht="20.4" spans="5:5">
      <c r="E150" s="18" t="s">
        <v>77</v>
      </c>
    </row>
    <row r="151" ht="20.4" spans="5:5">
      <c r="E151" s="18" t="s">
        <v>27</v>
      </c>
    </row>
    <row r="152" ht="20.4" spans="5:5">
      <c r="E152" s="20" t="s">
        <v>266</v>
      </c>
    </row>
    <row r="153" ht="20.4" spans="5:5">
      <c r="E153" s="21" t="s">
        <v>13</v>
      </c>
    </row>
    <row r="154" ht="20.4" spans="5:5">
      <c r="E154" s="18" t="s">
        <v>13</v>
      </c>
    </row>
    <row r="155" ht="20.4" spans="5:5">
      <c r="E155" s="18" t="s">
        <v>13</v>
      </c>
    </row>
    <row r="156" ht="20.4" spans="5:5">
      <c r="E156" s="18" t="s">
        <v>49</v>
      </c>
    </row>
    <row r="157" ht="20.4" spans="5:5">
      <c r="E157" s="18" t="s">
        <v>49</v>
      </c>
    </row>
    <row r="158" ht="20.4" spans="5:5">
      <c r="E158" s="18" t="s">
        <v>44</v>
      </c>
    </row>
    <row r="159" ht="20.4" spans="5:5">
      <c r="E159" s="18" t="s">
        <v>24</v>
      </c>
    </row>
    <row r="160" ht="20.4" spans="5:5">
      <c r="E160" s="18" t="s">
        <v>53</v>
      </c>
    </row>
    <row r="161" ht="20.4" spans="5:5">
      <c r="E161" s="18" t="s">
        <v>53</v>
      </c>
    </row>
    <row r="162" ht="20.4" spans="5:5">
      <c r="E162" s="20" t="s">
        <v>39</v>
      </c>
    </row>
    <row r="163" ht="20.4" spans="5:5">
      <c r="E163" s="21" t="s">
        <v>301</v>
      </c>
    </row>
    <row r="164" ht="20.4" spans="5:5">
      <c r="E164" s="18" t="s">
        <v>13</v>
      </c>
    </row>
    <row r="165" ht="20.4" spans="5:5">
      <c r="E165" s="18" t="s">
        <v>13</v>
      </c>
    </row>
    <row r="166" ht="20.4" spans="5:5">
      <c r="E166" s="18" t="s">
        <v>104</v>
      </c>
    </row>
    <row r="167" ht="20.4" spans="5:5">
      <c r="E167" s="18" t="s">
        <v>49</v>
      </c>
    </row>
    <row r="168" ht="20.4" spans="5:5">
      <c r="E168" s="18" t="s">
        <v>49</v>
      </c>
    </row>
    <row r="169" ht="20.4" spans="5:5">
      <c r="E169" s="18" t="s">
        <v>77</v>
      </c>
    </row>
    <row r="170" ht="20.4" spans="5:5">
      <c r="E170" s="18" t="s">
        <v>33</v>
      </c>
    </row>
    <row r="171" ht="20.4" spans="5:5">
      <c r="E171" s="18" t="s">
        <v>73</v>
      </c>
    </row>
    <row r="172" ht="20.4" spans="5:5">
      <c r="E172" s="18" t="s">
        <v>39</v>
      </c>
    </row>
    <row r="173" ht="20.4" spans="5:5">
      <c r="E173" s="18" t="s">
        <v>53</v>
      </c>
    </row>
    <row r="174" ht="20.4" spans="5:5">
      <c r="E174" s="18" t="s">
        <v>68</v>
      </c>
    </row>
    <row r="175" ht="20.4" spans="5:5">
      <c r="E175" s="18" t="s">
        <v>68</v>
      </c>
    </row>
    <row r="176" ht="20.4" spans="5:5">
      <c r="E176" s="18" t="s">
        <v>63</v>
      </c>
    </row>
    <row r="177" ht="20.4" spans="5:5">
      <c r="E177" s="18" t="s">
        <v>63</v>
      </c>
    </row>
    <row r="178" ht="20.4" spans="5:5">
      <c r="E178" s="20" t="s">
        <v>63</v>
      </c>
    </row>
    <row r="179" ht="20.4" spans="5:5">
      <c r="E179" s="21" t="s">
        <v>163</v>
      </c>
    </row>
    <row r="180" ht="20.4" spans="5:5">
      <c r="E180" s="18" t="s">
        <v>49</v>
      </c>
    </row>
    <row r="181" ht="20.4" spans="5:5">
      <c r="E181" s="18" t="s">
        <v>27</v>
      </c>
    </row>
    <row r="182" ht="20.4" spans="5:5">
      <c r="E182" s="18" t="s">
        <v>27</v>
      </c>
    </row>
    <row r="183" ht="20.4" spans="5:5">
      <c r="E183" s="18" t="s">
        <v>33</v>
      </c>
    </row>
    <row r="184" ht="20.4" spans="5:5">
      <c r="E184" s="18" t="s">
        <v>33</v>
      </c>
    </row>
    <row r="185" ht="20.4" spans="5:5">
      <c r="E185" s="18" t="s">
        <v>13</v>
      </c>
    </row>
    <row r="186" ht="20.4" spans="5:5">
      <c r="E186" s="18" t="s">
        <v>13</v>
      </c>
    </row>
    <row r="187" ht="20.4" spans="5:5">
      <c r="E187" s="18" t="s">
        <v>301</v>
      </c>
    </row>
    <row r="188" ht="20.4" spans="5:5">
      <c r="E188" s="18" t="s">
        <v>58</v>
      </c>
    </row>
    <row r="189" ht="20.4" spans="5:5">
      <c r="E189" s="18" t="s">
        <v>77</v>
      </c>
    </row>
    <row r="190" ht="20.4" spans="5:5">
      <c r="E190" s="18" t="s">
        <v>73</v>
      </c>
    </row>
    <row r="191" ht="20.4" spans="5:5">
      <c r="E191" s="18" t="s">
        <v>24</v>
      </c>
    </row>
    <row r="192" ht="20.4" spans="5:5">
      <c r="E192" s="18" t="s">
        <v>68</v>
      </c>
    </row>
    <row r="193" ht="20.4" spans="5:5">
      <c r="E193" s="20" t="s">
        <v>68</v>
      </c>
    </row>
    <row r="194" ht="20.4" spans="5:5">
      <c r="E194" s="21" t="s">
        <v>301</v>
      </c>
    </row>
    <row r="195" ht="20.4" spans="5:5">
      <c r="E195" s="18" t="s">
        <v>24</v>
      </c>
    </row>
    <row r="196" ht="20.4" spans="5:5">
      <c r="E196" s="18" t="s">
        <v>27</v>
      </c>
    </row>
    <row r="197" ht="20.4" spans="5:5">
      <c r="E197" s="18" t="s">
        <v>135</v>
      </c>
    </row>
    <row r="198" ht="20.4" spans="5:5">
      <c r="E198" s="18" t="s">
        <v>246</v>
      </c>
    </row>
    <row r="199" ht="20.4" spans="5:5">
      <c r="E199" s="18" t="s">
        <v>246</v>
      </c>
    </row>
    <row r="200" ht="20.4" spans="5:5">
      <c r="E200" s="18" t="s">
        <v>104</v>
      </c>
    </row>
    <row r="201" ht="20.4" spans="5:5">
      <c r="E201" s="18" t="s">
        <v>44</v>
      </c>
    </row>
    <row r="202" ht="20.4" spans="5:5">
      <c r="E202" s="18" t="s">
        <v>39</v>
      </c>
    </row>
    <row r="203" ht="20.4" spans="5:5">
      <c r="E203" s="18" t="s">
        <v>58</v>
      </c>
    </row>
    <row r="204" ht="20.4" spans="5:5">
      <c r="E204" s="18" t="s">
        <v>58</v>
      </c>
    </row>
    <row r="205" ht="20.4" spans="5:5">
      <c r="E205" s="18" t="s">
        <v>77</v>
      </c>
    </row>
    <row r="206" ht="20.4" spans="5:5">
      <c r="E206" s="18" t="s">
        <v>33</v>
      </c>
    </row>
    <row r="207" ht="20.4" spans="5:5">
      <c r="E207" s="18" t="s">
        <v>13</v>
      </c>
    </row>
    <row r="208" ht="20.4" spans="5:5">
      <c r="E208" s="18" t="s">
        <v>49</v>
      </c>
    </row>
    <row r="209" ht="20.4" spans="5:5">
      <c r="E209" s="18" t="s">
        <v>49</v>
      </c>
    </row>
    <row r="210" ht="20.4" spans="5:5">
      <c r="E210" s="18" t="s">
        <v>49</v>
      </c>
    </row>
    <row r="211" ht="20.4" spans="5:5">
      <c r="E211" s="18" t="s">
        <v>53</v>
      </c>
    </row>
    <row r="212" ht="20.4" spans="5:5">
      <c r="E212" s="18" t="s">
        <v>53</v>
      </c>
    </row>
    <row r="213" ht="20.4" spans="5:5">
      <c r="E213" s="18" t="s">
        <v>63</v>
      </c>
    </row>
    <row r="214" ht="20.4" spans="5:5">
      <c r="E214" s="21" t="s">
        <v>547</v>
      </c>
    </row>
    <row r="215" ht="20.4" spans="5:5">
      <c r="E215" s="20" t="s">
        <v>73</v>
      </c>
    </row>
    <row r="216" ht="20.4" spans="5:5">
      <c r="E216" s="21" t="s">
        <v>246</v>
      </c>
    </row>
    <row r="217" ht="20.4" spans="5:5">
      <c r="E217" s="18" t="s">
        <v>13</v>
      </c>
    </row>
    <row r="218" ht="20.4" spans="5:5">
      <c r="E218" s="18" t="s">
        <v>13</v>
      </c>
    </row>
    <row r="219" ht="20.4" spans="5:5">
      <c r="E219" s="18" t="s">
        <v>63</v>
      </c>
    </row>
    <row r="220" ht="20.4" spans="5:5">
      <c r="E220" s="18" t="s">
        <v>33</v>
      </c>
    </row>
    <row r="221" ht="20.4" spans="5:5">
      <c r="E221" s="18" t="s">
        <v>49</v>
      </c>
    </row>
    <row r="222" ht="20.4" spans="5:5">
      <c r="E222" s="18" t="s">
        <v>53</v>
      </c>
    </row>
    <row r="223" ht="20.4" spans="5:5">
      <c r="E223" s="18" t="s">
        <v>315</v>
      </c>
    </row>
    <row r="224" ht="20.4" spans="5:5">
      <c r="E224" s="18" t="s">
        <v>77</v>
      </c>
    </row>
    <row r="225" ht="20.4" spans="5:5">
      <c r="E225" s="20" t="s">
        <v>77</v>
      </c>
    </row>
    <row r="226" ht="20.4" spans="5:5">
      <c r="E226" s="18" t="s">
        <v>44</v>
      </c>
    </row>
    <row r="227" ht="20.4" spans="5:5">
      <c r="E227" s="18" t="s">
        <v>39</v>
      </c>
    </row>
    <row r="228" ht="20.4" spans="5:5">
      <c r="E228" s="18" t="s">
        <v>33</v>
      </c>
    </row>
    <row r="229" ht="20.4" spans="5:5">
      <c r="E229" s="18" t="s">
        <v>13</v>
      </c>
    </row>
    <row r="230" ht="20.4" spans="5:5">
      <c r="E230" s="18" t="s">
        <v>49</v>
      </c>
    </row>
    <row r="231" ht="20.4" spans="5:5">
      <c r="E231" s="18" t="s">
        <v>58</v>
      </c>
    </row>
    <row r="232" ht="20.4" spans="5:5">
      <c r="E232" s="18" t="s">
        <v>73</v>
      </c>
    </row>
    <row r="233" ht="20.4" spans="5:5">
      <c r="E233" s="18" t="s">
        <v>53</v>
      </c>
    </row>
    <row r="234" ht="20.4" spans="5:5">
      <c r="E234" s="18" t="s">
        <v>77</v>
      </c>
    </row>
    <row r="235" ht="20.4" spans="5:5">
      <c r="E235" s="18" t="s">
        <v>63</v>
      </c>
    </row>
    <row r="236" ht="20.4" spans="5:5">
      <c r="E236" s="18" t="s">
        <v>63</v>
      </c>
    </row>
    <row r="237" ht="20.4" spans="5:5">
      <c r="E237" s="21" t="s">
        <v>68</v>
      </c>
    </row>
    <row r="238" ht="20.4" spans="5:5">
      <c r="E238" s="18" t="s">
        <v>600</v>
      </c>
    </row>
    <row r="239" ht="20.4" spans="5:5">
      <c r="E239" s="20" t="s">
        <v>604</v>
      </c>
    </row>
    <row r="240" ht="20.4" spans="5:5">
      <c r="E240" s="21" t="s">
        <v>33</v>
      </c>
    </row>
    <row r="241" ht="20.4" spans="5:5">
      <c r="E241" s="18" t="s">
        <v>44</v>
      </c>
    </row>
    <row r="242" ht="20.4" spans="5:5">
      <c r="E242" s="18" t="s">
        <v>13</v>
      </c>
    </row>
    <row r="243" ht="20.4" spans="5:5">
      <c r="E243" s="18" t="s">
        <v>13</v>
      </c>
    </row>
    <row r="244" ht="20.4" spans="5:5">
      <c r="E244" s="18" t="s">
        <v>49</v>
      </c>
    </row>
    <row r="245" ht="20.4" spans="5:5">
      <c r="E245" s="18" t="s">
        <v>53</v>
      </c>
    </row>
    <row r="246" ht="20.4" spans="5:5">
      <c r="E246" s="18" t="s">
        <v>53</v>
      </c>
    </row>
    <row r="247" ht="20.4" spans="5:5">
      <c r="E247" s="18" t="s">
        <v>600</v>
      </c>
    </row>
    <row r="248" ht="20.4" spans="5:5">
      <c r="E248" s="18" t="s">
        <v>604</v>
      </c>
    </row>
    <row r="249" ht="20.4" spans="5:5">
      <c r="E249" s="18" t="s">
        <v>77</v>
      </c>
    </row>
    <row r="250" ht="20.4" spans="5:5">
      <c r="E250" s="18" t="s">
        <v>77</v>
      </c>
    </row>
    <row r="251" ht="20.4" spans="5:5">
      <c r="E251" s="18" t="s">
        <v>77</v>
      </c>
    </row>
    <row r="252" ht="20.4" spans="5:5">
      <c r="E252" s="18" t="s">
        <v>63</v>
      </c>
    </row>
    <row r="253" ht="20.4" spans="5:5">
      <c r="E253" s="22" t="s">
        <v>63</v>
      </c>
    </row>
    <row r="254" ht="20.4" spans="5:5">
      <c r="E254" s="20" t="s">
        <v>68</v>
      </c>
    </row>
    <row r="255" ht="20.4" spans="5:5">
      <c r="E255" s="21" t="s">
        <v>13</v>
      </c>
    </row>
    <row r="256" ht="20.4" spans="5:5">
      <c r="E256" s="18" t="s">
        <v>13</v>
      </c>
    </row>
    <row r="257" ht="20.4" spans="5:5">
      <c r="E257" s="18" t="s">
        <v>77</v>
      </c>
    </row>
    <row r="258" ht="20.4" spans="5:5">
      <c r="E258" s="18" t="s">
        <v>77</v>
      </c>
    </row>
    <row r="259" ht="20.4" spans="5:5">
      <c r="E259" s="18" t="s">
        <v>49</v>
      </c>
    </row>
    <row r="260" ht="20.4" spans="5:5">
      <c r="E260" s="18" t="s">
        <v>33</v>
      </c>
    </row>
    <row r="261" ht="20.4" spans="5:5">
      <c r="E261" s="18" t="s">
        <v>33</v>
      </c>
    </row>
    <row r="262" ht="20.4" spans="5:5">
      <c r="E262" s="18" t="s">
        <v>44</v>
      </c>
    </row>
    <row r="263" ht="20.4" spans="5:5">
      <c r="E263" s="18" t="s">
        <v>44</v>
      </c>
    </row>
    <row r="264" ht="20.4" spans="5:5">
      <c r="E264" s="18" t="s">
        <v>73</v>
      </c>
    </row>
    <row r="265" ht="20.4" spans="5:5">
      <c r="E265" s="18" t="s">
        <v>73</v>
      </c>
    </row>
    <row r="266" ht="20.4" spans="5:5">
      <c r="E266" s="18" t="s">
        <v>53</v>
      </c>
    </row>
    <row r="267" ht="20.4" spans="5:5">
      <c r="E267" s="18" t="s">
        <v>53</v>
      </c>
    </row>
    <row r="268" ht="20.4" spans="5:5">
      <c r="E268" s="18" t="s">
        <v>39</v>
      </c>
    </row>
    <row r="269" ht="20.4" spans="5:5">
      <c r="E269" s="18" t="s">
        <v>39</v>
      </c>
    </row>
    <row r="270" ht="20.4" spans="5:5">
      <c r="E270" s="18" t="s">
        <v>266</v>
      </c>
    </row>
    <row r="271" ht="20.4" spans="5:5">
      <c r="E271" s="18" t="s">
        <v>266</v>
      </c>
    </row>
    <row r="272" ht="20.4" spans="5:5">
      <c r="E272" s="18" t="s">
        <v>266</v>
      </c>
    </row>
    <row r="273" ht="20.4" spans="5:5">
      <c r="E273" s="20" t="s">
        <v>266</v>
      </c>
    </row>
    <row r="274" ht="20.4" spans="5:5">
      <c r="E274" s="21" t="s">
        <v>44</v>
      </c>
    </row>
    <row r="275" ht="20.4" spans="5:5">
      <c r="E275" s="18" t="s">
        <v>13</v>
      </c>
    </row>
    <row r="276" ht="20.4" spans="5:5">
      <c r="E276" s="18" t="s">
        <v>27</v>
      </c>
    </row>
    <row r="277" ht="20.4" spans="5:5">
      <c r="E277" s="18" t="s">
        <v>49</v>
      </c>
    </row>
    <row r="278" ht="20.4" spans="5:5">
      <c r="E278" s="18" t="s">
        <v>49</v>
      </c>
    </row>
    <row r="279" ht="20.4" spans="5:5">
      <c r="E279" s="18" t="s">
        <v>49</v>
      </c>
    </row>
    <row r="280" ht="20.4" spans="5:5">
      <c r="E280" s="18" t="s">
        <v>685</v>
      </c>
    </row>
    <row r="281" ht="20.4" spans="5:5">
      <c r="E281" s="18" t="s">
        <v>77</v>
      </c>
    </row>
    <row r="282" ht="20.4" spans="5:5">
      <c r="E282" s="18" t="s">
        <v>77</v>
      </c>
    </row>
    <row r="283" ht="20.4" spans="5:5">
      <c r="E283" s="18" t="s">
        <v>266</v>
      </c>
    </row>
    <row r="284" ht="20.4" spans="5:5">
      <c r="E284" s="18" t="s">
        <v>266</v>
      </c>
    </row>
    <row r="285" ht="20.4" spans="5:5">
      <c r="E285" s="18" t="s">
        <v>266</v>
      </c>
    </row>
    <row r="286" ht="20.4" spans="5:5">
      <c r="E286" s="20" t="s">
        <v>266</v>
      </c>
    </row>
  </sheetData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6"/>
  <sheetViews>
    <sheetView workbookViewId="0">
      <selection activeCell="B1" sqref="B$1:B$1048576"/>
    </sheetView>
  </sheetViews>
  <sheetFormatPr defaultColWidth="9" defaultRowHeight="14.4" outlineLevelCol="7"/>
  <cols>
    <col min="1" max="1" width="21.6296296296296" style="10" customWidth="1"/>
    <col min="2" max="2" width="22.75" customWidth="1"/>
    <col min="6" max="6" width="14.5" customWidth="1"/>
    <col min="7" max="7" width="23.1296296296296" style="11" customWidth="1"/>
  </cols>
  <sheetData>
    <row r="1" ht="20.4" spans="1:8">
      <c r="A1" s="3" t="s">
        <v>7</v>
      </c>
      <c r="B1" s="3" t="s">
        <v>1232</v>
      </c>
      <c r="F1" s="12" t="s">
        <v>1165</v>
      </c>
      <c r="G1" s="13" t="s">
        <v>1166</v>
      </c>
      <c r="H1" s="12" t="s">
        <v>1167</v>
      </c>
    </row>
    <row r="2" ht="20.4" spans="1:8">
      <c r="A2" s="14" t="s">
        <v>1170</v>
      </c>
      <c r="B2" s="15" t="str">
        <f>_xlfn.XLOOKUP(A2,$G$2:$G$33,$F$2:$F$33,"-")</f>
        <v>R007</v>
      </c>
      <c r="F2" s="16" t="s">
        <v>1168</v>
      </c>
      <c r="G2" s="17" t="s">
        <v>1169</v>
      </c>
      <c r="H2" s="16">
        <v>160</v>
      </c>
    </row>
    <row r="3" ht="20.4" spans="1:8">
      <c r="A3" s="18" t="s">
        <v>1170</v>
      </c>
      <c r="B3" s="15" t="str">
        <f t="shared" ref="B3:B27" si="0">_xlfn.XLOOKUP(A3,$G$2:$G$33,$F$2:$F$33,"-")</f>
        <v>R007</v>
      </c>
      <c r="F3" s="16" t="s">
        <v>1171</v>
      </c>
      <c r="G3" s="19" t="s">
        <v>1172</v>
      </c>
      <c r="H3" s="16">
        <v>160</v>
      </c>
    </row>
    <row r="4" ht="20.4" spans="1:8">
      <c r="A4" s="18" t="s">
        <v>1233</v>
      </c>
      <c r="B4" s="15" t="str">
        <f t="shared" si="0"/>
        <v>R029</v>
      </c>
      <c r="F4" s="16" t="s">
        <v>1173</v>
      </c>
      <c r="G4" s="19" t="s">
        <v>1174</v>
      </c>
      <c r="H4" s="16">
        <v>266</v>
      </c>
    </row>
    <row r="5" ht="20.4" spans="1:8">
      <c r="A5" s="18" t="s">
        <v>1233</v>
      </c>
      <c r="B5" s="15" t="str">
        <f t="shared" si="0"/>
        <v>R029</v>
      </c>
      <c r="F5" s="16" t="s">
        <v>1175</v>
      </c>
      <c r="G5" s="19" t="s">
        <v>1176</v>
      </c>
      <c r="H5" s="16">
        <v>414</v>
      </c>
    </row>
    <row r="6" ht="20.4" spans="1:8">
      <c r="A6" s="18" t="s">
        <v>1233</v>
      </c>
      <c r="B6" s="15" t="str">
        <f t="shared" si="0"/>
        <v>R029</v>
      </c>
      <c r="F6" s="16" t="s">
        <v>1177</v>
      </c>
      <c r="G6" s="19" t="s">
        <v>1178</v>
      </c>
      <c r="H6" s="16">
        <v>280</v>
      </c>
    </row>
    <row r="7" ht="20.4" spans="1:8">
      <c r="A7" s="18" t="s">
        <v>1233</v>
      </c>
      <c r="B7" s="15" t="str">
        <f t="shared" si="0"/>
        <v>R029</v>
      </c>
      <c r="F7" s="16" t="s">
        <v>1179</v>
      </c>
      <c r="G7" s="19" t="s">
        <v>1180</v>
      </c>
      <c r="H7" s="16">
        <v>91</v>
      </c>
    </row>
    <row r="8" ht="20.4" spans="1:8">
      <c r="A8" s="18" t="s">
        <v>1169</v>
      </c>
      <c r="B8" s="15" t="str">
        <f t="shared" si="0"/>
        <v>R001</v>
      </c>
      <c r="F8" s="16" t="s">
        <v>1181</v>
      </c>
      <c r="G8" s="19" t="s">
        <v>1170</v>
      </c>
      <c r="H8" s="16">
        <v>72</v>
      </c>
    </row>
    <row r="9" ht="20.4" spans="1:8">
      <c r="A9" s="18" t="s">
        <v>1178</v>
      </c>
      <c r="B9" s="15" t="str">
        <f t="shared" si="0"/>
        <v>R005</v>
      </c>
      <c r="F9" s="16" t="s">
        <v>1182</v>
      </c>
      <c r="G9" s="19" t="s">
        <v>1183</v>
      </c>
      <c r="H9" s="16">
        <v>72</v>
      </c>
    </row>
    <row r="10" ht="20.4" spans="1:8">
      <c r="A10" s="18" t="s">
        <v>1176</v>
      </c>
      <c r="B10" s="15" t="str">
        <f t="shared" si="0"/>
        <v>R004</v>
      </c>
      <c r="F10" s="16" t="s">
        <v>1184</v>
      </c>
      <c r="G10" s="19" t="s">
        <v>1185</v>
      </c>
      <c r="H10" s="16">
        <v>72</v>
      </c>
    </row>
    <row r="11" ht="20.4" spans="1:8">
      <c r="A11" s="18" t="s">
        <v>1183</v>
      </c>
      <c r="B11" s="15" t="str">
        <f t="shared" si="0"/>
        <v>R008</v>
      </c>
      <c r="F11" s="16" t="s">
        <v>1186</v>
      </c>
      <c r="G11" s="19" t="s">
        <v>1187</v>
      </c>
      <c r="H11" s="16">
        <v>72</v>
      </c>
    </row>
    <row r="12" ht="20.4" spans="1:8">
      <c r="A12" s="18" t="s">
        <v>1185</v>
      </c>
      <c r="B12" s="15" t="str">
        <f t="shared" si="0"/>
        <v>R009</v>
      </c>
      <c r="F12" s="16" t="s">
        <v>1188</v>
      </c>
      <c r="G12" s="19" t="s">
        <v>1189</v>
      </c>
      <c r="H12" s="16">
        <v>30</v>
      </c>
    </row>
    <row r="13" ht="20.4" spans="1:8">
      <c r="A13" s="18" t="s">
        <v>1174</v>
      </c>
      <c r="B13" s="15" t="str">
        <f t="shared" si="0"/>
        <v>R003</v>
      </c>
      <c r="F13" s="16" t="s">
        <v>1190</v>
      </c>
      <c r="G13" s="19" t="s">
        <v>1191</v>
      </c>
      <c r="H13" s="16">
        <v>40</v>
      </c>
    </row>
    <row r="14" ht="20.4" spans="1:8">
      <c r="A14" s="18" t="s">
        <v>1187</v>
      </c>
      <c r="B14" s="15" t="str">
        <f t="shared" si="0"/>
        <v>R010</v>
      </c>
      <c r="F14" s="16" t="s">
        <v>1192</v>
      </c>
      <c r="G14" s="19" t="s">
        <v>1193</v>
      </c>
      <c r="H14" s="16">
        <v>35</v>
      </c>
    </row>
    <row r="15" ht="20.4" spans="1:8">
      <c r="A15" s="18" t="s">
        <v>1234</v>
      </c>
      <c r="B15" s="15" t="str">
        <f t="shared" si="0"/>
        <v>R025</v>
      </c>
      <c r="F15" s="16" t="s">
        <v>1194</v>
      </c>
      <c r="G15" s="19" t="s">
        <v>1195</v>
      </c>
      <c r="H15" s="16">
        <v>64</v>
      </c>
    </row>
    <row r="16" ht="20.4" spans="1:8">
      <c r="A16" s="18" t="s">
        <v>1234</v>
      </c>
      <c r="B16" s="15" t="str">
        <f t="shared" si="0"/>
        <v>R025</v>
      </c>
      <c r="F16" s="16" t="s">
        <v>1196</v>
      </c>
      <c r="G16" s="19" t="s">
        <v>1197</v>
      </c>
      <c r="H16" s="16">
        <v>79</v>
      </c>
    </row>
    <row r="17" ht="20.4" spans="1:8">
      <c r="A17" s="18" t="s">
        <v>1172</v>
      </c>
      <c r="B17" s="15" t="str">
        <f t="shared" si="0"/>
        <v>R002</v>
      </c>
      <c r="F17" s="16" t="s">
        <v>1198</v>
      </c>
      <c r="G17" s="19" t="s">
        <v>1199</v>
      </c>
      <c r="H17" s="16">
        <v>48</v>
      </c>
    </row>
    <row r="18" ht="20.4" spans="1:8">
      <c r="A18" s="20" t="s">
        <v>1180</v>
      </c>
      <c r="B18" s="15" t="str">
        <f t="shared" si="0"/>
        <v>R006</v>
      </c>
      <c r="F18" s="16" t="s">
        <v>1200</v>
      </c>
      <c r="G18" s="19" t="s">
        <v>1201</v>
      </c>
      <c r="H18" s="16">
        <v>40</v>
      </c>
    </row>
    <row r="19" ht="20.4" spans="1:8">
      <c r="A19" s="18" t="s">
        <v>1176</v>
      </c>
      <c r="B19" s="15" t="str">
        <f t="shared" si="0"/>
        <v>R004</v>
      </c>
      <c r="F19" s="16" t="s">
        <v>1202</v>
      </c>
      <c r="G19" s="19" t="s">
        <v>1203</v>
      </c>
      <c r="H19" s="16">
        <v>24</v>
      </c>
    </row>
    <row r="20" ht="20.4" spans="1:8">
      <c r="A20" s="18" t="s">
        <v>1187</v>
      </c>
      <c r="B20" s="15" t="str">
        <f t="shared" si="0"/>
        <v>R010</v>
      </c>
      <c r="F20" s="16" t="s">
        <v>1204</v>
      </c>
      <c r="G20" s="19" t="s">
        <v>1205</v>
      </c>
      <c r="H20" s="16">
        <v>24</v>
      </c>
    </row>
    <row r="21" ht="20.4" spans="1:8">
      <c r="A21" s="18" t="s">
        <v>1170</v>
      </c>
      <c r="B21" s="15" t="str">
        <f t="shared" si="0"/>
        <v>R007</v>
      </c>
      <c r="F21" s="16" t="s">
        <v>1206</v>
      </c>
      <c r="G21" s="19" t="s">
        <v>1207</v>
      </c>
      <c r="H21" s="16">
        <v>24</v>
      </c>
    </row>
    <row r="22" ht="20.4" spans="1:8">
      <c r="A22" s="18" t="s">
        <v>1183</v>
      </c>
      <c r="B22" s="15" t="str">
        <f t="shared" si="0"/>
        <v>R008</v>
      </c>
      <c r="F22" s="16" t="s">
        <v>1208</v>
      </c>
      <c r="G22" s="19" t="s">
        <v>1209</v>
      </c>
      <c r="H22" s="16">
        <v>20</v>
      </c>
    </row>
    <row r="23" ht="20.4" spans="1:8">
      <c r="A23" s="18" t="s">
        <v>1185</v>
      </c>
      <c r="B23" s="15" t="str">
        <f t="shared" si="0"/>
        <v>R009</v>
      </c>
      <c r="F23" s="16" t="s">
        <v>1210</v>
      </c>
      <c r="G23" s="19" t="s">
        <v>1211</v>
      </c>
      <c r="H23" s="16">
        <v>35</v>
      </c>
    </row>
    <row r="24" ht="20.4" spans="1:8">
      <c r="A24" s="18" t="s">
        <v>1174</v>
      </c>
      <c r="B24" s="15" t="str">
        <f t="shared" si="0"/>
        <v>R003</v>
      </c>
      <c r="F24" s="16" t="s">
        <v>1212</v>
      </c>
      <c r="G24" s="19" t="s">
        <v>1213</v>
      </c>
      <c r="H24" s="16">
        <v>36</v>
      </c>
    </row>
    <row r="25" ht="20.4" spans="1:8">
      <c r="A25" s="18" t="s">
        <v>1169</v>
      </c>
      <c r="B25" s="15" t="str">
        <f t="shared" si="0"/>
        <v>R001</v>
      </c>
      <c r="F25" s="16" t="s">
        <v>1214</v>
      </c>
      <c r="G25" s="19" t="s">
        <v>1215</v>
      </c>
      <c r="H25" s="16">
        <v>36</v>
      </c>
    </row>
    <row r="26" ht="20.4" spans="1:8">
      <c r="A26" s="18" t="s">
        <v>1169</v>
      </c>
      <c r="B26" s="15" t="str">
        <f t="shared" si="0"/>
        <v>R001</v>
      </c>
      <c r="F26" s="16" t="s">
        <v>1216</v>
      </c>
      <c r="G26" s="19" t="s">
        <v>1234</v>
      </c>
      <c r="H26" s="16">
        <v>48</v>
      </c>
    </row>
    <row r="27" ht="20.4" spans="1:8">
      <c r="A27" s="18" t="s">
        <v>1169</v>
      </c>
      <c r="B27" s="15" t="str">
        <f t="shared" si="0"/>
        <v>R001</v>
      </c>
      <c r="F27" s="16" t="s">
        <v>1218</v>
      </c>
      <c r="G27" s="19" t="s">
        <v>1235</v>
      </c>
      <c r="H27" s="16">
        <v>69</v>
      </c>
    </row>
    <row r="28" ht="20.4" spans="1:8">
      <c r="A28" s="18" t="s">
        <v>1199</v>
      </c>
      <c r="B28" s="15" t="str">
        <f t="shared" ref="B28:B66" si="1">_xlfn.XLOOKUP(A28,$G$2:$G$33,$F$2:$F$33,"-")</f>
        <v>R016</v>
      </c>
      <c r="F28" s="16" t="s">
        <v>1220</v>
      </c>
      <c r="G28" s="19" t="s">
        <v>1236</v>
      </c>
      <c r="H28" s="16">
        <v>80</v>
      </c>
    </row>
    <row r="29" ht="20.4" spans="1:8">
      <c r="A29" s="18" t="s">
        <v>1178</v>
      </c>
      <c r="B29" s="15" t="str">
        <f t="shared" si="1"/>
        <v>R005</v>
      </c>
      <c r="F29" s="16" t="s">
        <v>1222</v>
      </c>
      <c r="G29" s="19" t="s">
        <v>1237</v>
      </c>
      <c r="H29" s="16">
        <v>60</v>
      </c>
    </row>
    <row r="30" ht="20.4" spans="1:8">
      <c r="A30" s="18" t="s">
        <v>1180</v>
      </c>
      <c r="B30" s="15" t="str">
        <f t="shared" si="1"/>
        <v>R006</v>
      </c>
      <c r="F30" s="16" t="s">
        <v>1224</v>
      </c>
      <c r="G30" s="19" t="s">
        <v>1233</v>
      </c>
      <c r="H30" s="16">
        <v>48</v>
      </c>
    </row>
    <row r="31" ht="20.4" spans="1:8">
      <c r="A31" s="18" t="s">
        <v>1234</v>
      </c>
      <c r="B31" s="15" t="str">
        <f t="shared" si="1"/>
        <v>R025</v>
      </c>
      <c r="F31" s="16" t="s">
        <v>1226</v>
      </c>
      <c r="G31" s="19" t="s">
        <v>1238</v>
      </c>
      <c r="H31" s="16">
        <v>88</v>
      </c>
    </row>
    <row r="32" ht="20.4" spans="1:8">
      <c r="A32" s="18" t="s">
        <v>1234</v>
      </c>
      <c r="B32" s="15" t="str">
        <f t="shared" si="1"/>
        <v>R025</v>
      </c>
      <c r="F32" s="16" t="s">
        <v>1228</v>
      </c>
      <c r="G32" s="19" t="s">
        <v>1239</v>
      </c>
      <c r="H32" s="16">
        <v>50</v>
      </c>
    </row>
    <row r="33" ht="20.4" spans="1:8">
      <c r="A33" s="18" t="s">
        <v>1172</v>
      </c>
      <c r="B33" s="15" t="str">
        <f t="shared" si="1"/>
        <v>R002</v>
      </c>
      <c r="F33" s="16" t="s">
        <v>1230</v>
      </c>
      <c r="G33" s="19" t="s">
        <v>1240</v>
      </c>
      <c r="H33" s="16">
        <v>60</v>
      </c>
    </row>
    <row r="34" ht="20.4" spans="1:2">
      <c r="A34" s="18" t="s">
        <v>1172</v>
      </c>
      <c r="B34" s="15" t="str">
        <f t="shared" si="1"/>
        <v>R002</v>
      </c>
    </row>
    <row r="35" ht="20.4" spans="1:2">
      <c r="A35" s="20" t="s">
        <v>1172</v>
      </c>
      <c r="B35" s="15" t="str">
        <f t="shared" si="1"/>
        <v>R002</v>
      </c>
    </row>
    <row r="36" ht="20.4" spans="1:2">
      <c r="A36" s="21" t="s">
        <v>1169</v>
      </c>
      <c r="B36" s="15" t="str">
        <f t="shared" si="1"/>
        <v>R001</v>
      </c>
    </row>
    <row r="37" ht="20.4" spans="1:2">
      <c r="A37" s="18" t="s">
        <v>1169</v>
      </c>
      <c r="B37" s="15" t="str">
        <f t="shared" si="1"/>
        <v>R001</v>
      </c>
    </row>
    <row r="38" ht="20.4" spans="1:2">
      <c r="A38" s="18" t="s">
        <v>1195</v>
      </c>
      <c r="B38" s="15" t="str">
        <f t="shared" si="1"/>
        <v>R014</v>
      </c>
    </row>
    <row r="39" ht="20.4" spans="1:2">
      <c r="A39" s="18" t="s">
        <v>1233</v>
      </c>
      <c r="B39" s="15" t="str">
        <f t="shared" si="1"/>
        <v>R029</v>
      </c>
    </row>
    <row r="40" ht="20.4" spans="1:2">
      <c r="A40" s="18" t="s">
        <v>1238</v>
      </c>
      <c r="B40" s="15" t="str">
        <f t="shared" si="1"/>
        <v>R030</v>
      </c>
    </row>
    <row r="41" ht="20.4" spans="1:2">
      <c r="A41" s="18" t="s">
        <v>1238</v>
      </c>
      <c r="B41" s="15" t="str">
        <f t="shared" si="1"/>
        <v>R030</v>
      </c>
    </row>
    <row r="42" ht="20.4" spans="1:2">
      <c r="A42" s="18" t="s">
        <v>1176</v>
      </c>
      <c r="B42" s="15" t="str">
        <f t="shared" si="1"/>
        <v>R004</v>
      </c>
    </row>
    <row r="43" ht="20.4" spans="1:2">
      <c r="A43" s="18" t="s">
        <v>1176</v>
      </c>
      <c r="B43" s="15" t="str">
        <f t="shared" si="1"/>
        <v>R004</v>
      </c>
    </row>
    <row r="44" ht="20.4" spans="1:2">
      <c r="A44" s="18" t="s">
        <v>1170</v>
      </c>
      <c r="B44" s="15" t="str">
        <f t="shared" si="1"/>
        <v>R007</v>
      </c>
    </row>
    <row r="45" ht="20.4" spans="1:2">
      <c r="A45" s="18" t="s">
        <v>1172</v>
      </c>
      <c r="B45" s="15" t="str">
        <f t="shared" si="1"/>
        <v>R002</v>
      </c>
    </row>
    <row r="46" ht="20.4" spans="1:2">
      <c r="A46" s="18" t="s">
        <v>1172</v>
      </c>
      <c r="B46" s="15" t="str">
        <f t="shared" si="1"/>
        <v>R002</v>
      </c>
    </row>
    <row r="47" ht="20.4" spans="1:2">
      <c r="A47" s="18" t="s">
        <v>1234</v>
      </c>
      <c r="B47" s="15" t="str">
        <f t="shared" si="1"/>
        <v>R025</v>
      </c>
    </row>
    <row r="48" ht="20.4" spans="1:2">
      <c r="A48" s="18" t="s">
        <v>1240</v>
      </c>
      <c r="B48" s="15" t="str">
        <f t="shared" si="1"/>
        <v>R032</v>
      </c>
    </row>
    <row r="49" ht="20.4" spans="1:2">
      <c r="A49" s="18" t="s">
        <v>1178</v>
      </c>
      <c r="B49" s="15" t="str">
        <f t="shared" si="1"/>
        <v>R005</v>
      </c>
    </row>
    <row r="50" ht="20.4" spans="1:2">
      <c r="A50" s="22" t="s">
        <v>1178</v>
      </c>
      <c r="B50" s="15" t="str">
        <f t="shared" si="1"/>
        <v>R005</v>
      </c>
    </row>
    <row r="51" ht="20.4" spans="1:2">
      <c r="A51" s="20" t="s">
        <v>176</v>
      </c>
      <c r="B51" s="15" t="str">
        <f t="shared" si="1"/>
        <v>-</v>
      </c>
    </row>
    <row r="52" ht="20.4" spans="1:2">
      <c r="A52" s="21" t="s">
        <v>1176</v>
      </c>
      <c r="B52" s="15" t="str">
        <f t="shared" si="1"/>
        <v>R004</v>
      </c>
    </row>
    <row r="53" ht="20.4" spans="1:2">
      <c r="A53" s="18" t="s">
        <v>1170</v>
      </c>
      <c r="B53" s="15" t="str">
        <f t="shared" si="1"/>
        <v>R007</v>
      </c>
    </row>
    <row r="54" ht="20.4" spans="1:2">
      <c r="A54" s="18" t="s">
        <v>1183</v>
      </c>
      <c r="B54" s="15" t="str">
        <f t="shared" si="1"/>
        <v>R008</v>
      </c>
    </row>
    <row r="55" ht="20.4" spans="1:2">
      <c r="A55" s="18" t="s">
        <v>1183</v>
      </c>
      <c r="B55" s="15" t="str">
        <f t="shared" si="1"/>
        <v>R008</v>
      </c>
    </row>
    <row r="56" ht="20.4" spans="1:2">
      <c r="A56" s="18" t="s">
        <v>1185</v>
      </c>
      <c r="B56" s="15" t="str">
        <f t="shared" si="1"/>
        <v>R009</v>
      </c>
    </row>
    <row r="57" ht="20.4" spans="1:2">
      <c r="A57" s="21" t="s">
        <v>1238</v>
      </c>
      <c r="B57" s="15" t="str">
        <f t="shared" si="1"/>
        <v>R030</v>
      </c>
    </row>
    <row r="58" ht="20.4" spans="1:2">
      <c r="A58" s="18" t="s">
        <v>1172</v>
      </c>
      <c r="B58" s="15" t="str">
        <f t="shared" si="1"/>
        <v>R002</v>
      </c>
    </row>
    <row r="59" ht="20.4" spans="1:2">
      <c r="A59" s="18" t="s">
        <v>1172</v>
      </c>
      <c r="B59" s="15" t="str">
        <f t="shared" si="1"/>
        <v>R002</v>
      </c>
    </row>
    <row r="60" ht="20.4" spans="1:2">
      <c r="A60" s="18" t="s">
        <v>1172</v>
      </c>
      <c r="B60" s="15" t="str">
        <f t="shared" si="1"/>
        <v>R002</v>
      </c>
    </row>
    <row r="61" ht="20.4" spans="1:2">
      <c r="A61" s="18" t="s">
        <v>1178</v>
      </c>
      <c r="B61" s="15" t="str">
        <f t="shared" si="1"/>
        <v>R005</v>
      </c>
    </row>
    <row r="62" ht="20.4" spans="1:2">
      <c r="A62" s="18" t="s">
        <v>1178</v>
      </c>
      <c r="B62" s="15" t="str">
        <f t="shared" si="1"/>
        <v>R005</v>
      </c>
    </row>
    <row r="63" ht="20.4" spans="1:2">
      <c r="A63" s="18" t="s">
        <v>1178</v>
      </c>
      <c r="B63" s="15" t="str">
        <f t="shared" si="1"/>
        <v>R005</v>
      </c>
    </row>
    <row r="64" ht="20.4" spans="1:2">
      <c r="A64" s="22" t="s">
        <v>1178</v>
      </c>
      <c r="B64" s="15" t="str">
        <f t="shared" si="1"/>
        <v>R005</v>
      </c>
    </row>
    <row r="65" ht="20.4" spans="1:2">
      <c r="A65" s="23" t="s">
        <v>207</v>
      </c>
      <c r="B65" s="15" t="str">
        <f t="shared" si="1"/>
        <v>-</v>
      </c>
    </row>
    <row r="66" ht="20.4" spans="1:2">
      <c r="A66" s="21" t="s">
        <v>1238</v>
      </c>
      <c r="B66" s="15" t="str">
        <f t="shared" si="1"/>
        <v>R030</v>
      </c>
    </row>
    <row r="67" ht="20.4" spans="1:2">
      <c r="A67" s="18" t="s">
        <v>1180</v>
      </c>
      <c r="B67" s="15" t="str">
        <f t="shared" ref="B67:B130" si="2">_xlfn.XLOOKUP(A67,$G$2:$G$33,$F$2:$F$33,"-")</f>
        <v>R006</v>
      </c>
    </row>
    <row r="68" ht="20.4" spans="1:2">
      <c r="A68" s="18" t="s">
        <v>1176</v>
      </c>
      <c r="B68" s="15" t="str">
        <f t="shared" si="2"/>
        <v>R004</v>
      </c>
    </row>
    <row r="69" ht="20.4" spans="1:2">
      <c r="A69" s="18" t="s">
        <v>1174</v>
      </c>
      <c r="B69" s="15" t="str">
        <f t="shared" si="2"/>
        <v>R003</v>
      </c>
    </row>
    <row r="70" ht="20.4" spans="1:2">
      <c r="A70" s="18" t="s">
        <v>1169</v>
      </c>
      <c r="B70" s="15" t="str">
        <f t="shared" si="2"/>
        <v>R001</v>
      </c>
    </row>
    <row r="71" ht="20.4" spans="1:2">
      <c r="A71" s="18" t="s">
        <v>1172</v>
      </c>
      <c r="B71" s="15" t="str">
        <f t="shared" si="2"/>
        <v>R002</v>
      </c>
    </row>
    <row r="72" ht="20.4" spans="1:2">
      <c r="A72" s="18" t="s">
        <v>1172</v>
      </c>
      <c r="B72" s="15" t="str">
        <f t="shared" si="2"/>
        <v>R002</v>
      </c>
    </row>
    <row r="73" ht="20.4" spans="1:2">
      <c r="A73" s="18" t="s">
        <v>1183</v>
      </c>
      <c r="B73" s="15" t="str">
        <f t="shared" si="2"/>
        <v>R008</v>
      </c>
    </row>
    <row r="74" ht="20.4" spans="1:2">
      <c r="A74" s="18" t="s">
        <v>1185</v>
      </c>
      <c r="B74" s="15" t="str">
        <f t="shared" si="2"/>
        <v>R009</v>
      </c>
    </row>
    <row r="75" ht="20.4" spans="1:2">
      <c r="A75" s="18" t="s">
        <v>1185</v>
      </c>
      <c r="B75" s="15" t="str">
        <f t="shared" si="2"/>
        <v>R009</v>
      </c>
    </row>
    <row r="76" ht="20.4" spans="1:2">
      <c r="A76" s="18" t="s">
        <v>1233</v>
      </c>
      <c r="B76" s="15" t="str">
        <f t="shared" si="2"/>
        <v>R029</v>
      </c>
    </row>
    <row r="77" ht="20.4" spans="1:2">
      <c r="A77" s="18" t="s">
        <v>1195</v>
      </c>
      <c r="B77" s="15" t="str">
        <f t="shared" si="2"/>
        <v>R014</v>
      </c>
    </row>
    <row r="78" ht="20.4" spans="1:2">
      <c r="A78" s="18" t="s">
        <v>1195</v>
      </c>
      <c r="B78" s="15" t="str">
        <f t="shared" si="2"/>
        <v>R014</v>
      </c>
    </row>
    <row r="79" ht="20.4" spans="1:2">
      <c r="A79" s="18" t="s">
        <v>1199</v>
      </c>
      <c r="B79" s="15" t="str">
        <f t="shared" si="2"/>
        <v>R016</v>
      </c>
    </row>
    <row r="80" ht="20.4" spans="1:2">
      <c r="A80" s="18" t="s">
        <v>1178</v>
      </c>
      <c r="B80" s="15" t="str">
        <f t="shared" si="2"/>
        <v>R005</v>
      </c>
    </row>
    <row r="81" ht="20.4" spans="1:2">
      <c r="A81" s="18" t="s">
        <v>1178</v>
      </c>
      <c r="B81" s="15" t="str">
        <f t="shared" si="2"/>
        <v>R005</v>
      </c>
    </row>
    <row r="82" ht="20.4" spans="1:2">
      <c r="A82" s="18" t="s">
        <v>1178</v>
      </c>
      <c r="B82" s="15" t="str">
        <f t="shared" si="2"/>
        <v>R005</v>
      </c>
    </row>
    <row r="83" ht="20.4" spans="1:2">
      <c r="A83" s="18" t="s">
        <v>1199</v>
      </c>
      <c r="B83" s="15" t="str">
        <f t="shared" si="2"/>
        <v>R016</v>
      </c>
    </row>
    <row r="84" ht="20.4" spans="1:2">
      <c r="A84" s="18" t="s">
        <v>1187</v>
      </c>
      <c r="B84" s="15" t="str">
        <f t="shared" si="2"/>
        <v>R010</v>
      </c>
    </row>
    <row r="85" ht="20.4" spans="1:2">
      <c r="A85" s="18" t="s">
        <v>1185</v>
      </c>
      <c r="B85" s="15" t="str">
        <f t="shared" si="2"/>
        <v>R009</v>
      </c>
    </row>
    <row r="86" ht="20.4" spans="1:2">
      <c r="A86" s="18" t="s">
        <v>1234</v>
      </c>
      <c r="B86" s="15" t="str">
        <f t="shared" si="2"/>
        <v>R025</v>
      </c>
    </row>
    <row r="87" ht="20.4" spans="1:2">
      <c r="A87" s="18" t="s">
        <v>1234</v>
      </c>
      <c r="B87" s="15" t="str">
        <f t="shared" si="2"/>
        <v>R025</v>
      </c>
    </row>
    <row r="88" ht="20.4" spans="1:2">
      <c r="A88" s="18" t="s">
        <v>1240</v>
      </c>
      <c r="B88" s="15" t="str">
        <f t="shared" si="2"/>
        <v>R032</v>
      </c>
    </row>
    <row r="89" ht="20.4" spans="1:2">
      <c r="A89" s="20" t="s">
        <v>1176</v>
      </c>
      <c r="B89" s="15" t="str">
        <f t="shared" si="2"/>
        <v>R004</v>
      </c>
    </row>
    <row r="90" ht="20.4" spans="1:2">
      <c r="A90" s="21" t="s">
        <v>1176</v>
      </c>
      <c r="B90" s="15" t="str">
        <f t="shared" si="2"/>
        <v>R004</v>
      </c>
    </row>
    <row r="91" ht="20.4" spans="1:2">
      <c r="A91" s="18" t="s">
        <v>1176</v>
      </c>
      <c r="B91" s="15" t="str">
        <f t="shared" si="2"/>
        <v>R004</v>
      </c>
    </row>
    <row r="92" ht="20.4" spans="1:2">
      <c r="A92" s="18" t="s">
        <v>1170</v>
      </c>
      <c r="B92" s="15" t="str">
        <f t="shared" si="2"/>
        <v>R007</v>
      </c>
    </row>
    <row r="93" ht="20.4" spans="1:2">
      <c r="A93" s="18" t="s">
        <v>1170</v>
      </c>
      <c r="B93" s="15" t="str">
        <f t="shared" si="2"/>
        <v>R007</v>
      </c>
    </row>
    <row r="94" ht="20.4" spans="1:2">
      <c r="A94" s="18" t="s">
        <v>1178</v>
      </c>
      <c r="B94" s="15" t="str">
        <f t="shared" si="2"/>
        <v>R005</v>
      </c>
    </row>
    <row r="95" ht="20.4" spans="1:2">
      <c r="A95" s="18" t="s">
        <v>1174</v>
      </c>
      <c r="B95" s="15" t="str">
        <f t="shared" si="2"/>
        <v>R003</v>
      </c>
    </row>
    <row r="96" ht="20.4" spans="1:2">
      <c r="A96" s="18" t="s">
        <v>1169</v>
      </c>
      <c r="B96" s="15" t="str">
        <f t="shared" si="2"/>
        <v>R001</v>
      </c>
    </row>
    <row r="97" ht="20.4" spans="1:2">
      <c r="A97" s="18" t="s">
        <v>1172</v>
      </c>
      <c r="B97" s="15" t="str">
        <f t="shared" si="2"/>
        <v>R002</v>
      </c>
    </row>
    <row r="98" ht="20.4" spans="1:2">
      <c r="A98" s="18" t="s">
        <v>1180</v>
      </c>
      <c r="B98" s="15" t="str">
        <f t="shared" si="2"/>
        <v>R006</v>
      </c>
    </row>
    <row r="99" ht="20.4" spans="1:2">
      <c r="A99" s="18" t="s">
        <v>1180</v>
      </c>
      <c r="B99" s="15" t="str">
        <f t="shared" si="2"/>
        <v>R006</v>
      </c>
    </row>
    <row r="100" ht="20.4" spans="1:2">
      <c r="A100" s="18" t="s">
        <v>1187</v>
      </c>
      <c r="B100" s="15" t="str">
        <f t="shared" si="2"/>
        <v>R010</v>
      </c>
    </row>
    <row r="101" ht="20.4" spans="1:2">
      <c r="A101" s="18" t="s">
        <v>1199</v>
      </c>
      <c r="B101" s="15" t="str">
        <f t="shared" si="2"/>
        <v>R016</v>
      </c>
    </row>
    <row r="102" ht="20.4" spans="1:2">
      <c r="A102" s="18" t="s">
        <v>1201</v>
      </c>
      <c r="B102" s="15" t="str">
        <f t="shared" si="2"/>
        <v>R017</v>
      </c>
    </row>
    <row r="103" ht="20.4" spans="1:2">
      <c r="A103" s="18" t="s">
        <v>1183</v>
      </c>
      <c r="B103" s="15" t="str">
        <f t="shared" si="2"/>
        <v>R008</v>
      </c>
    </row>
    <row r="104" ht="20.4" spans="1:2">
      <c r="A104" s="18" t="s">
        <v>1185</v>
      </c>
      <c r="B104" s="15" t="str">
        <f t="shared" si="2"/>
        <v>R009</v>
      </c>
    </row>
    <row r="105" ht="20.4" spans="1:2">
      <c r="A105" s="18" t="s">
        <v>1185</v>
      </c>
      <c r="B105" s="15" t="str">
        <f t="shared" si="2"/>
        <v>R009</v>
      </c>
    </row>
    <row r="106" ht="20.4" spans="1:2">
      <c r="A106" s="18" t="s">
        <v>1197</v>
      </c>
      <c r="B106" s="15" t="str">
        <f t="shared" si="2"/>
        <v>R015</v>
      </c>
    </row>
    <row r="107" ht="20.4" spans="1:2">
      <c r="A107" s="18" t="s">
        <v>1234</v>
      </c>
      <c r="B107" s="15" t="str">
        <f t="shared" si="2"/>
        <v>R025</v>
      </c>
    </row>
    <row r="108" ht="20.4" spans="1:2">
      <c r="A108" s="18" t="s">
        <v>1235</v>
      </c>
      <c r="B108" s="15" t="str">
        <f t="shared" si="2"/>
        <v>R026</v>
      </c>
    </row>
    <row r="109" ht="20.4" spans="1:2">
      <c r="A109" s="18" t="s">
        <v>1240</v>
      </c>
      <c r="B109" s="15" t="str">
        <f t="shared" si="2"/>
        <v>R032</v>
      </c>
    </row>
    <row r="110" ht="20.4" spans="1:2">
      <c r="A110" s="18" t="s">
        <v>1233</v>
      </c>
      <c r="B110" s="15" t="str">
        <f t="shared" si="2"/>
        <v>R029</v>
      </c>
    </row>
    <row r="111" ht="20.4" spans="1:2">
      <c r="A111" s="18" t="s">
        <v>1238</v>
      </c>
      <c r="B111" s="15" t="str">
        <f t="shared" si="2"/>
        <v>R030</v>
      </c>
    </row>
    <row r="112" ht="20.4" spans="1:2">
      <c r="A112" s="20" t="s">
        <v>1180</v>
      </c>
      <c r="B112" s="15" t="str">
        <f t="shared" si="2"/>
        <v>R006</v>
      </c>
    </row>
    <row r="113" ht="20.4" spans="1:2">
      <c r="A113" s="21" t="s">
        <v>1180</v>
      </c>
      <c r="B113" s="15" t="str">
        <f t="shared" si="2"/>
        <v>R006</v>
      </c>
    </row>
    <row r="114" ht="20.4" spans="1:2">
      <c r="A114" s="18" t="s">
        <v>1180</v>
      </c>
      <c r="B114" s="15" t="str">
        <f t="shared" si="2"/>
        <v>R006</v>
      </c>
    </row>
    <row r="115" ht="20.4" spans="1:2">
      <c r="A115" s="18" t="s">
        <v>1183</v>
      </c>
      <c r="B115" s="15" t="str">
        <f t="shared" si="2"/>
        <v>R008</v>
      </c>
    </row>
    <row r="116" ht="20.4" spans="1:2">
      <c r="A116" s="18" t="s">
        <v>1183</v>
      </c>
      <c r="B116" s="15" t="str">
        <f t="shared" si="2"/>
        <v>R008</v>
      </c>
    </row>
    <row r="117" ht="20.4" spans="1:2">
      <c r="A117" s="18" t="s">
        <v>1170</v>
      </c>
      <c r="B117" s="15" t="str">
        <f t="shared" si="2"/>
        <v>R007</v>
      </c>
    </row>
    <row r="118" ht="20.4" spans="1:2">
      <c r="A118" s="18" t="s">
        <v>1170</v>
      </c>
      <c r="B118" s="15" t="str">
        <f t="shared" si="2"/>
        <v>R007</v>
      </c>
    </row>
    <row r="119" ht="20.4" spans="1:2">
      <c r="A119" s="18" t="s">
        <v>1170</v>
      </c>
      <c r="B119" s="15" t="str">
        <f t="shared" si="2"/>
        <v>R007</v>
      </c>
    </row>
    <row r="120" ht="20.4" spans="1:2">
      <c r="A120" s="18" t="s">
        <v>1185</v>
      </c>
      <c r="B120" s="15" t="str">
        <f t="shared" si="2"/>
        <v>R009</v>
      </c>
    </row>
    <row r="121" ht="20.4" spans="1:2">
      <c r="A121" s="18" t="s">
        <v>1233</v>
      </c>
      <c r="B121" s="15" t="str">
        <f t="shared" si="2"/>
        <v>R029</v>
      </c>
    </row>
    <row r="122" ht="20.4" spans="1:2">
      <c r="A122" s="18" t="s">
        <v>1187</v>
      </c>
      <c r="B122" s="15" t="str">
        <f t="shared" si="2"/>
        <v>R010</v>
      </c>
    </row>
    <row r="123" ht="20.4" spans="1:2">
      <c r="A123" s="18" t="s">
        <v>1172</v>
      </c>
      <c r="B123" s="15" t="str">
        <f t="shared" si="2"/>
        <v>R002</v>
      </c>
    </row>
    <row r="124" ht="20.4" spans="1:2">
      <c r="A124" s="18" t="s">
        <v>1172</v>
      </c>
      <c r="B124" s="15" t="str">
        <f t="shared" si="2"/>
        <v>R002</v>
      </c>
    </row>
    <row r="125" ht="20.4" spans="1:2">
      <c r="A125" s="18" t="s">
        <v>1235</v>
      </c>
      <c r="B125" s="15" t="str">
        <f t="shared" si="2"/>
        <v>R026</v>
      </c>
    </row>
    <row r="126" ht="20.4" spans="1:2">
      <c r="A126" s="18" t="s">
        <v>1169</v>
      </c>
      <c r="B126" s="15" t="str">
        <f t="shared" si="2"/>
        <v>R001</v>
      </c>
    </row>
    <row r="127" ht="20.4" spans="1:2">
      <c r="A127" s="18" t="s">
        <v>1169</v>
      </c>
      <c r="B127" s="15" t="str">
        <f t="shared" si="2"/>
        <v>R001</v>
      </c>
    </row>
    <row r="128" ht="20.4" spans="1:2">
      <c r="A128" s="20" t="s">
        <v>1240</v>
      </c>
      <c r="B128" s="15" t="str">
        <f t="shared" si="2"/>
        <v>R032</v>
      </c>
    </row>
    <row r="129" ht="20.4" spans="1:2">
      <c r="A129" s="21" t="s">
        <v>1174</v>
      </c>
      <c r="B129" s="15" t="str">
        <f t="shared" si="2"/>
        <v>R003</v>
      </c>
    </row>
    <row r="130" ht="20.4" spans="1:2">
      <c r="A130" s="18" t="s">
        <v>1174</v>
      </c>
      <c r="B130" s="15" t="str">
        <f t="shared" si="2"/>
        <v>R003</v>
      </c>
    </row>
    <row r="131" ht="20.4" spans="1:2">
      <c r="A131" s="18" t="s">
        <v>1180</v>
      </c>
      <c r="B131" s="15" t="str">
        <f t="shared" ref="B131:B194" si="3">_xlfn.XLOOKUP(A131,$G$2:$G$33,$F$2:$F$33,"-")</f>
        <v>R006</v>
      </c>
    </row>
    <row r="132" ht="20.4" spans="1:2">
      <c r="A132" s="18" t="s">
        <v>1180</v>
      </c>
      <c r="B132" s="15" t="str">
        <f t="shared" si="3"/>
        <v>R006</v>
      </c>
    </row>
    <row r="133" ht="20.4" spans="1:2">
      <c r="A133" s="18" t="s">
        <v>1169</v>
      </c>
      <c r="B133" s="15" t="str">
        <f t="shared" si="3"/>
        <v>R001</v>
      </c>
    </row>
    <row r="134" ht="20.4" spans="1:2">
      <c r="A134" s="18" t="s">
        <v>1169</v>
      </c>
      <c r="B134" s="15" t="str">
        <f t="shared" si="3"/>
        <v>R001</v>
      </c>
    </row>
    <row r="135" ht="20.4" spans="1:2">
      <c r="A135" s="18" t="s">
        <v>1238</v>
      </c>
      <c r="B135" s="15" t="str">
        <f t="shared" si="3"/>
        <v>R030</v>
      </c>
    </row>
    <row r="136" ht="20.4" spans="1:2">
      <c r="A136" s="18" t="s">
        <v>1170</v>
      </c>
      <c r="B136" s="15" t="str">
        <f t="shared" si="3"/>
        <v>R007</v>
      </c>
    </row>
    <row r="137" ht="20.4" spans="1:2">
      <c r="A137" s="18" t="s">
        <v>1172</v>
      </c>
      <c r="B137" s="15" t="str">
        <f t="shared" si="3"/>
        <v>R002</v>
      </c>
    </row>
    <row r="138" ht="20.4" spans="1:2">
      <c r="A138" s="18" t="s">
        <v>1172</v>
      </c>
      <c r="B138" s="15" t="str">
        <f t="shared" si="3"/>
        <v>R002</v>
      </c>
    </row>
    <row r="139" ht="20.4" spans="1:2">
      <c r="A139" s="18" t="s">
        <v>1172</v>
      </c>
      <c r="B139" s="15" t="str">
        <f t="shared" si="3"/>
        <v>R002</v>
      </c>
    </row>
    <row r="140" ht="20.4" spans="1:2">
      <c r="A140" s="18" t="s">
        <v>1172</v>
      </c>
      <c r="B140" s="15" t="str">
        <f t="shared" si="3"/>
        <v>R002</v>
      </c>
    </row>
    <row r="141" ht="20.4" spans="1:2">
      <c r="A141" s="18" t="s">
        <v>1235</v>
      </c>
      <c r="B141" s="15" t="str">
        <f t="shared" si="3"/>
        <v>R026</v>
      </c>
    </row>
    <row r="142" ht="20.4" spans="1:2">
      <c r="A142" s="20" t="s">
        <v>1183</v>
      </c>
      <c r="B142" s="15" t="str">
        <f t="shared" si="3"/>
        <v>R008</v>
      </c>
    </row>
    <row r="143" ht="20.4" spans="1:2">
      <c r="A143" s="21" t="s">
        <v>1170</v>
      </c>
      <c r="B143" s="15" t="str">
        <f t="shared" si="3"/>
        <v>R007</v>
      </c>
    </row>
    <row r="144" ht="20.4" spans="1:2">
      <c r="A144" s="18" t="s">
        <v>1170</v>
      </c>
      <c r="B144" s="15" t="str">
        <f t="shared" si="3"/>
        <v>R007</v>
      </c>
    </row>
    <row r="145" ht="20.4" spans="1:2">
      <c r="A145" s="18" t="s">
        <v>1176</v>
      </c>
      <c r="B145" s="15" t="str">
        <f t="shared" si="3"/>
        <v>R004</v>
      </c>
    </row>
    <row r="146" ht="20.4" spans="1:2">
      <c r="A146" s="18" t="s">
        <v>1178</v>
      </c>
      <c r="B146" s="15" t="str">
        <f t="shared" si="3"/>
        <v>R005</v>
      </c>
    </row>
    <row r="147" ht="20.4" spans="1:2">
      <c r="A147" s="18" t="s">
        <v>1233</v>
      </c>
      <c r="B147" s="15" t="str">
        <f t="shared" si="3"/>
        <v>R029</v>
      </c>
    </row>
    <row r="148" ht="20.4" spans="1:2">
      <c r="A148" s="18" t="s">
        <v>1180</v>
      </c>
      <c r="B148" s="15" t="str">
        <f t="shared" si="3"/>
        <v>R006</v>
      </c>
    </row>
    <row r="149" ht="20.4" spans="1:2">
      <c r="A149" s="18" t="s">
        <v>1180</v>
      </c>
      <c r="B149" s="15" t="str">
        <f t="shared" si="3"/>
        <v>R006</v>
      </c>
    </row>
    <row r="150" ht="20.4" spans="1:2">
      <c r="A150" s="18" t="s">
        <v>1238</v>
      </c>
      <c r="B150" s="15" t="str">
        <f t="shared" si="3"/>
        <v>R030</v>
      </c>
    </row>
    <row r="151" ht="20.4" spans="1:2">
      <c r="A151" s="18" t="s">
        <v>1234</v>
      </c>
      <c r="B151" s="15" t="str">
        <f t="shared" si="3"/>
        <v>R025</v>
      </c>
    </row>
    <row r="152" ht="20.4" spans="1:2">
      <c r="A152" s="20" t="s">
        <v>1170</v>
      </c>
      <c r="B152" s="15" t="str">
        <f t="shared" si="3"/>
        <v>R007</v>
      </c>
    </row>
    <row r="153" ht="20.4" spans="1:2">
      <c r="A153" s="21" t="s">
        <v>1170</v>
      </c>
      <c r="B153" s="15" t="str">
        <f t="shared" si="3"/>
        <v>R007</v>
      </c>
    </row>
    <row r="154" ht="20.4" spans="1:2">
      <c r="A154" s="18" t="s">
        <v>1170</v>
      </c>
      <c r="B154" s="15" t="str">
        <f t="shared" si="3"/>
        <v>R007</v>
      </c>
    </row>
    <row r="155" ht="20.4" spans="1:2">
      <c r="A155" s="18" t="s">
        <v>1183</v>
      </c>
      <c r="B155" s="15" t="str">
        <f t="shared" si="3"/>
        <v>R008</v>
      </c>
    </row>
    <row r="156" ht="20.4" spans="1:2">
      <c r="A156" s="18" t="s">
        <v>1183</v>
      </c>
      <c r="B156" s="15" t="str">
        <f t="shared" si="3"/>
        <v>R008</v>
      </c>
    </row>
    <row r="157" ht="20.4" spans="1:2">
      <c r="A157" s="18" t="s">
        <v>1176</v>
      </c>
      <c r="B157" s="15" t="str">
        <f t="shared" si="3"/>
        <v>R004</v>
      </c>
    </row>
    <row r="158" ht="20.4" spans="1:2">
      <c r="A158" s="18" t="s">
        <v>1233</v>
      </c>
      <c r="B158" s="15" t="str">
        <f t="shared" si="3"/>
        <v>R029</v>
      </c>
    </row>
    <row r="159" ht="20.4" spans="1:2">
      <c r="A159" s="18" t="s">
        <v>1185</v>
      </c>
      <c r="B159" s="15" t="str">
        <f t="shared" si="3"/>
        <v>R009</v>
      </c>
    </row>
    <row r="160" ht="20.4" spans="1:2">
      <c r="A160" s="18" t="s">
        <v>1185</v>
      </c>
      <c r="B160" s="15" t="str">
        <f t="shared" si="3"/>
        <v>R009</v>
      </c>
    </row>
    <row r="161" ht="20.4" spans="1:2">
      <c r="A161" s="18" t="s">
        <v>1178</v>
      </c>
      <c r="B161" s="15" t="str">
        <f t="shared" si="3"/>
        <v>R005</v>
      </c>
    </row>
    <row r="162" ht="20.4" spans="1:2">
      <c r="A162" s="20" t="s">
        <v>1201</v>
      </c>
      <c r="B162" s="15" t="str">
        <f t="shared" si="3"/>
        <v>R017</v>
      </c>
    </row>
    <row r="163" ht="20.4" spans="1:2">
      <c r="A163" s="21" t="s">
        <v>1170</v>
      </c>
      <c r="B163" s="15" t="str">
        <f t="shared" si="3"/>
        <v>R007</v>
      </c>
    </row>
    <row r="164" ht="20.4" spans="1:2">
      <c r="A164" s="18" t="s">
        <v>1170</v>
      </c>
      <c r="B164" s="15" t="str">
        <f t="shared" si="3"/>
        <v>R007</v>
      </c>
    </row>
    <row r="165" ht="20.4" spans="1:2">
      <c r="A165" s="18" t="s">
        <v>1199</v>
      </c>
      <c r="B165" s="15" t="str">
        <f t="shared" si="3"/>
        <v>R016</v>
      </c>
    </row>
    <row r="166" ht="20.4" spans="1:2">
      <c r="A166" s="18" t="s">
        <v>1183</v>
      </c>
      <c r="B166" s="15" t="str">
        <f t="shared" si="3"/>
        <v>R008</v>
      </c>
    </row>
    <row r="167" ht="20.4" spans="1:2">
      <c r="A167" s="18" t="s">
        <v>1183</v>
      </c>
      <c r="B167" s="15" t="str">
        <f t="shared" si="3"/>
        <v>R008</v>
      </c>
    </row>
    <row r="168" ht="20.4" spans="1:2">
      <c r="A168" s="18" t="s">
        <v>1180</v>
      </c>
      <c r="B168" s="15" t="str">
        <f t="shared" si="3"/>
        <v>R006</v>
      </c>
    </row>
    <row r="169" ht="20.4" spans="1:2">
      <c r="A169" s="18" t="s">
        <v>1169</v>
      </c>
      <c r="B169" s="15" t="str">
        <f t="shared" si="3"/>
        <v>R001</v>
      </c>
    </row>
    <row r="170" ht="20.4" spans="1:2">
      <c r="A170" s="18" t="s">
        <v>1172</v>
      </c>
      <c r="B170" s="15" t="str">
        <f t="shared" si="3"/>
        <v>R002</v>
      </c>
    </row>
    <row r="171" ht="20.4" spans="1:2">
      <c r="A171" s="18" t="s">
        <v>1178</v>
      </c>
      <c r="B171" s="15" t="str">
        <f t="shared" si="3"/>
        <v>R005</v>
      </c>
    </row>
    <row r="172" ht="20.4" spans="1:2">
      <c r="A172" s="18" t="s">
        <v>1185</v>
      </c>
      <c r="B172" s="15" t="str">
        <f t="shared" si="3"/>
        <v>R009</v>
      </c>
    </row>
    <row r="173" ht="20.4" spans="1:2">
      <c r="A173" s="18" t="s">
        <v>1234</v>
      </c>
      <c r="B173" s="15" t="str">
        <f t="shared" si="3"/>
        <v>R025</v>
      </c>
    </row>
    <row r="174" ht="20.4" spans="1:2">
      <c r="A174" s="18" t="s">
        <v>1234</v>
      </c>
      <c r="B174" s="15" t="str">
        <f t="shared" si="3"/>
        <v>R025</v>
      </c>
    </row>
    <row r="175" ht="20.4" spans="1:2">
      <c r="A175" s="18" t="s">
        <v>1187</v>
      </c>
      <c r="B175" s="15" t="str">
        <f t="shared" si="3"/>
        <v>R010</v>
      </c>
    </row>
    <row r="176" ht="20.4" spans="1:2">
      <c r="A176" s="18" t="s">
        <v>1187</v>
      </c>
      <c r="B176" s="15" t="str">
        <f t="shared" si="3"/>
        <v>R010</v>
      </c>
    </row>
    <row r="177" ht="20.4" spans="1:2">
      <c r="A177" s="18" t="s">
        <v>1187</v>
      </c>
      <c r="B177" s="15" t="str">
        <f t="shared" si="3"/>
        <v>R010</v>
      </c>
    </row>
    <row r="178" ht="20.4" spans="1:2">
      <c r="A178" s="20" t="s">
        <v>1240</v>
      </c>
      <c r="B178" s="15" t="str">
        <f t="shared" si="3"/>
        <v>R032</v>
      </c>
    </row>
    <row r="179" ht="20.4" spans="1:2">
      <c r="A179" s="21" t="s">
        <v>1183</v>
      </c>
      <c r="B179" s="15" t="str">
        <f t="shared" si="3"/>
        <v>R008</v>
      </c>
    </row>
    <row r="180" ht="20.4" spans="1:2">
      <c r="A180" s="18" t="s">
        <v>1238</v>
      </c>
      <c r="B180" s="15" t="str">
        <f t="shared" si="3"/>
        <v>R030</v>
      </c>
    </row>
    <row r="181" ht="20.4" spans="1:2">
      <c r="A181" s="18" t="s">
        <v>1238</v>
      </c>
      <c r="B181" s="15" t="str">
        <f t="shared" si="3"/>
        <v>R030</v>
      </c>
    </row>
    <row r="182" ht="20.4" spans="1:2">
      <c r="A182" s="18" t="s">
        <v>1169</v>
      </c>
      <c r="B182" s="15" t="str">
        <f t="shared" si="3"/>
        <v>R001</v>
      </c>
    </row>
    <row r="183" ht="20.4" spans="1:2">
      <c r="A183" s="18" t="s">
        <v>1169</v>
      </c>
      <c r="B183" s="15" t="str">
        <f t="shared" si="3"/>
        <v>R001</v>
      </c>
    </row>
    <row r="184" ht="20.4" spans="1:2">
      <c r="A184" s="18" t="s">
        <v>1170</v>
      </c>
      <c r="B184" s="15" t="str">
        <f t="shared" si="3"/>
        <v>R007</v>
      </c>
    </row>
    <row r="185" ht="20.4" spans="1:2">
      <c r="A185" s="18" t="s">
        <v>1170</v>
      </c>
      <c r="B185" s="15" t="str">
        <f t="shared" si="3"/>
        <v>R007</v>
      </c>
    </row>
    <row r="186" ht="20.4" spans="1:2">
      <c r="A186" s="18" t="s">
        <v>1201</v>
      </c>
      <c r="B186" s="15" t="str">
        <f t="shared" si="3"/>
        <v>R017</v>
      </c>
    </row>
    <row r="187" ht="20.4" spans="1:2">
      <c r="A187" s="18" t="s">
        <v>1174</v>
      </c>
      <c r="B187" s="15" t="str">
        <f t="shared" si="3"/>
        <v>R003</v>
      </c>
    </row>
    <row r="188" ht="20.4" spans="1:2">
      <c r="A188" s="18" t="s">
        <v>1180</v>
      </c>
      <c r="B188" s="15" t="str">
        <f t="shared" si="3"/>
        <v>R006</v>
      </c>
    </row>
    <row r="189" ht="20.4" spans="1:2">
      <c r="A189" s="18" t="s">
        <v>1172</v>
      </c>
      <c r="B189" s="15" t="str">
        <f t="shared" si="3"/>
        <v>R002</v>
      </c>
    </row>
    <row r="190" ht="20.4" spans="1:2">
      <c r="A190" s="18" t="s">
        <v>1233</v>
      </c>
      <c r="B190" s="15" t="str">
        <f t="shared" si="3"/>
        <v>R029</v>
      </c>
    </row>
    <row r="191" ht="20.4" spans="1:2">
      <c r="A191" s="18" t="s">
        <v>1234</v>
      </c>
      <c r="B191" s="15" t="str">
        <f t="shared" si="3"/>
        <v>R025</v>
      </c>
    </row>
    <row r="192" ht="20.4" spans="1:2">
      <c r="A192" s="18" t="s">
        <v>1234</v>
      </c>
      <c r="B192" s="15" t="str">
        <f t="shared" si="3"/>
        <v>R025</v>
      </c>
    </row>
    <row r="193" ht="20.4" spans="1:2">
      <c r="A193" s="20" t="s">
        <v>1201</v>
      </c>
      <c r="B193" s="15" t="str">
        <f t="shared" si="3"/>
        <v>R017</v>
      </c>
    </row>
    <row r="194" ht="20.4" spans="1:2">
      <c r="A194" s="21" t="s">
        <v>1233</v>
      </c>
      <c r="B194" s="15" t="str">
        <f t="shared" si="3"/>
        <v>R029</v>
      </c>
    </row>
    <row r="195" ht="20.4" spans="1:2">
      <c r="A195" s="18" t="s">
        <v>1238</v>
      </c>
      <c r="B195" s="15" t="str">
        <f t="shared" ref="B195:B258" si="4">_xlfn.XLOOKUP(A195,$G$2:$G$33,$F$2:$F$33,"-")</f>
        <v>R030</v>
      </c>
    </row>
    <row r="196" ht="20.4" spans="1:2">
      <c r="A196" s="18" t="s">
        <v>1195</v>
      </c>
      <c r="B196" s="15" t="str">
        <f t="shared" si="4"/>
        <v>R014</v>
      </c>
    </row>
    <row r="197" ht="20.4" spans="1:2">
      <c r="A197" s="18" t="s">
        <v>1197</v>
      </c>
      <c r="B197" s="15" t="str">
        <f t="shared" si="4"/>
        <v>R015</v>
      </c>
    </row>
    <row r="198" ht="20.4" spans="1:2">
      <c r="A198" s="18" t="s">
        <v>1197</v>
      </c>
      <c r="B198" s="15" t="str">
        <f t="shared" si="4"/>
        <v>R015</v>
      </c>
    </row>
    <row r="199" ht="20.4" spans="1:2">
      <c r="A199" s="18" t="s">
        <v>1199</v>
      </c>
      <c r="B199" s="15" t="str">
        <f t="shared" si="4"/>
        <v>R016</v>
      </c>
    </row>
    <row r="200" ht="20.4" spans="1:2">
      <c r="A200" s="18" t="s">
        <v>1176</v>
      </c>
      <c r="B200" s="15" t="str">
        <f t="shared" si="4"/>
        <v>R004</v>
      </c>
    </row>
    <row r="201" ht="20.4" spans="1:2">
      <c r="A201" s="18" t="s">
        <v>1178</v>
      </c>
      <c r="B201" s="15" t="str">
        <f t="shared" si="4"/>
        <v>R005</v>
      </c>
    </row>
    <row r="202" ht="20.4" spans="1:2">
      <c r="A202" s="18" t="s">
        <v>1174</v>
      </c>
      <c r="B202" s="15" t="str">
        <f t="shared" si="4"/>
        <v>R003</v>
      </c>
    </row>
    <row r="203" ht="20.4" spans="1:2">
      <c r="A203" s="18" t="s">
        <v>1174</v>
      </c>
      <c r="B203" s="15" t="str">
        <f t="shared" si="4"/>
        <v>R003</v>
      </c>
    </row>
    <row r="204" ht="20.4" spans="1:2">
      <c r="A204" s="18" t="s">
        <v>1180</v>
      </c>
      <c r="B204" s="15" t="str">
        <f t="shared" si="4"/>
        <v>R006</v>
      </c>
    </row>
    <row r="205" ht="20.4" spans="1:2">
      <c r="A205" s="18" t="s">
        <v>1169</v>
      </c>
      <c r="B205" s="15" t="str">
        <f t="shared" si="4"/>
        <v>R001</v>
      </c>
    </row>
    <row r="206" ht="20.4" spans="1:2">
      <c r="A206" s="18" t="s">
        <v>1170</v>
      </c>
      <c r="B206" s="15" t="str">
        <f t="shared" si="4"/>
        <v>R007</v>
      </c>
    </row>
    <row r="207" ht="20.4" spans="1:2">
      <c r="A207" s="18" t="s">
        <v>1183</v>
      </c>
      <c r="B207" s="15" t="str">
        <f t="shared" si="4"/>
        <v>R008</v>
      </c>
    </row>
    <row r="208" ht="20.4" spans="1:2">
      <c r="A208" s="18" t="s">
        <v>1183</v>
      </c>
      <c r="B208" s="15" t="str">
        <f t="shared" si="4"/>
        <v>R008</v>
      </c>
    </row>
    <row r="209" ht="20.4" spans="1:2">
      <c r="A209" s="18" t="s">
        <v>1183</v>
      </c>
      <c r="B209" s="15" t="str">
        <f t="shared" si="4"/>
        <v>R008</v>
      </c>
    </row>
    <row r="210" ht="20.4" spans="1:2">
      <c r="A210" s="18" t="s">
        <v>1185</v>
      </c>
      <c r="B210" s="15" t="str">
        <f t="shared" si="4"/>
        <v>R009</v>
      </c>
    </row>
    <row r="211" ht="20.4" spans="1:2">
      <c r="A211" s="18" t="s">
        <v>1185</v>
      </c>
      <c r="B211" s="15" t="str">
        <f t="shared" si="4"/>
        <v>R009</v>
      </c>
    </row>
    <row r="212" ht="20.4" spans="1:2">
      <c r="A212" s="18" t="s">
        <v>1187</v>
      </c>
      <c r="B212" s="15" t="str">
        <f t="shared" si="4"/>
        <v>R010</v>
      </c>
    </row>
    <row r="213" ht="20.4" spans="1:2">
      <c r="A213" s="18" t="s">
        <v>1203</v>
      </c>
      <c r="B213" s="15" t="str">
        <f t="shared" si="4"/>
        <v>R018</v>
      </c>
    </row>
    <row r="214" ht="20.4" spans="1:2">
      <c r="A214" s="21" t="s">
        <v>1172</v>
      </c>
      <c r="B214" s="15" t="str">
        <f t="shared" si="4"/>
        <v>R002</v>
      </c>
    </row>
    <row r="215" ht="20.4" spans="1:2">
      <c r="A215" s="20" t="s">
        <v>1197</v>
      </c>
      <c r="B215" s="15" t="str">
        <f t="shared" si="4"/>
        <v>R015</v>
      </c>
    </row>
    <row r="216" ht="20.4" spans="1:2">
      <c r="A216" s="21" t="s">
        <v>1170</v>
      </c>
      <c r="B216" s="15" t="str">
        <f t="shared" si="4"/>
        <v>R007</v>
      </c>
    </row>
    <row r="217" ht="20.4" spans="1:2">
      <c r="A217" s="18" t="s">
        <v>1170</v>
      </c>
      <c r="B217" s="15" t="str">
        <f t="shared" si="4"/>
        <v>R007</v>
      </c>
    </row>
    <row r="218" ht="20.4" spans="1:2">
      <c r="A218" s="18" t="s">
        <v>1187</v>
      </c>
      <c r="B218" s="15" t="str">
        <f t="shared" si="4"/>
        <v>R010</v>
      </c>
    </row>
    <row r="219" ht="20.4" spans="1:2">
      <c r="A219" s="18" t="s">
        <v>1169</v>
      </c>
      <c r="B219" s="15" t="str">
        <f t="shared" si="4"/>
        <v>R001</v>
      </c>
    </row>
    <row r="220" ht="20.4" spans="1:2">
      <c r="A220" s="18" t="s">
        <v>1183</v>
      </c>
      <c r="B220" s="15" t="str">
        <f t="shared" si="4"/>
        <v>R008</v>
      </c>
    </row>
    <row r="221" ht="20.4" spans="1:2">
      <c r="A221" s="18" t="s">
        <v>1185</v>
      </c>
      <c r="B221" s="15" t="str">
        <f t="shared" si="4"/>
        <v>R009</v>
      </c>
    </row>
    <row r="222" ht="20.4" spans="1:2">
      <c r="A222" s="18" t="s">
        <v>1235</v>
      </c>
      <c r="B222" s="15" t="str">
        <f t="shared" si="4"/>
        <v>R026</v>
      </c>
    </row>
    <row r="223" ht="20.4" spans="1:2">
      <c r="A223" s="18" t="s">
        <v>1180</v>
      </c>
      <c r="B223" s="15" t="str">
        <f t="shared" si="4"/>
        <v>R006</v>
      </c>
    </row>
    <row r="224" ht="20.4" spans="1:2">
      <c r="A224" s="18" t="s">
        <v>1180</v>
      </c>
      <c r="B224" s="15" t="str">
        <f t="shared" si="4"/>
        <v>R006</v>
      </c>
    </row>
    <row r="225" ht="20.4" spans="1:2">
      <c r="A225" s="20" t="s">
        <v>1176</v>
      </c>
      <c r="B225" s="15" t="str">
        <f t="shared" si="4"/>
        <v>R004</v>
      </c>
    </row>
    <row r="226" ht="20.4" spans="1:2">
      <c r="A226" s="18" t="s">
        <v>1178</v>
      </c>
      <c r="B226" s="15" t="str">
        <f t="shared" si="4"/>
        <v>R005</v>
      </c>
    </row>
    <row r="227" ht="20.4" spans="1:2">
      <c r="A227" s="18" t="s">
        <v>1169</v>
      </c>
      <c r="B227" s="15" t="str">
        <f t="shared" si="4"/>
        <v>R001</v>
      </c>
    </row>
    <row r="228" ht="20.4" spans="1:2">
      <c r="A228" s="18" t="s">
        <v>1170</v>
      </c>
      <c r="B228" s="15" t="str">
        <f t="shared" si="4"/>
        <v>R007</v>
      </c>
    </row>
    <row r="229" ht="20.4" spans="1:2">
      <c r="A229" s="18" t="s">
        <v>1183</v>
      </c>
      <c r="B229" s="15" t="str">
        <f t="shared" si="4"/>
        <v>R008</v>
      </c>
    </row>
    <row r="230" ht="20.4" spans="1:2">
      <c r="A230" s="18" t="s">
        <v>1174</v>
      </c>
      <c r="B230" s="15" t="str">
        <f t="shared" si="4"/>
        <v>R003</v>
      </c>
    </row>
    <row r="231" ht="20.4" spans="1:2">
      <c r="A231" s="18" t="s">
        <v>1172</v>
      </c>
      <c r="B231" s="15" t="str">
        <f t="shared" si="4"/>
        <v>R002</v>
      </c>
    </row>
    <row r="232" ht="20.4" spans="1:2">
      <c r="A232" s="18" t="s">
        <v>1185</v>
      </c>
      <c r="B232" s="15" t="str">
        <f t="shared" si="4"/>
        <v>R009</v>
      </c>
    </row>
    <row r="233" ht="20.4" spans="1:2">
      <c r="A233" s="18" t="s">
        <v>1180</v>
      </c>
      <c r="B233" s="15" t="str">
        <f t="shared" si="4"/>
        <v>R006</v>
      </c>
    </row>
    <row r="234" ht="20.4" spans="1:2">
      <c r="A234" s="18" t="s">
        <v>1187</v>
      </c>
      <c r="B234" s="15" t="str">
        <f t="shared" si="4"/>
        <v>R010</v>
      </c>
    </row>
    <row r="235" ht="20.4" spans="1:2">
      <c r="A235" s="18" t="s">
        <v>1187</v>
      </c>
      <c r="B235" s="15" t="str">
        <f t="shared" si="4"/>
        <v>R010</v>
      </c>
    </row>
    <row r="236" ht="20.4" spans="1:2">
      <c r="A236" s="18" t="s">
        <v>1234</v>
      </c>
      <c r="B236" s="15" t="str">
        <f t="shared" si="4"/>
        <v>R025</v>
      </c>
    </row>
    <row r="237" ht="20.4" spans="1:2">
      <c r="A237" s="21" t="s">
        <v>1241</v>
      </c>
      <c r="B237" s="15" t="str">
        <f t="shared" si="4"/>
        <v>-</v>
      </c>
    </row>
    <row r="238" ht="20.4" spans="1:2">
      <c r="A238" s="18" t="s">
        <v>1242</v>
      </c>
      <c r="B238" s="15" t="str">
        <f t="shared" si="4"/>
        <v>-</v>
      </c>
    </row>
    <row r="239" ht="20.4" spans="1:2">
      <c r="A239" s="20" t="s">
        <v>1169</v>
      </c>
      <c r="B239" s="15" t="str">
        <f t="shared" si="4"/>
        <v>R001</v>
      </c>
    </row>
    <row r="240" ht="20.4" spans="1:2">
      <c r="A240" s="21" t="s">
        <v>1176</v>
      </c>
      <c r="B240" s="15" t="str">
        <f t="shared" si="4"/>
        <v>R004</v>
      </c>
    </row>
    <row r="241" ht="20.4" spans="1:2">
      <c r="A241" s="18" t="s">
        <v>1170</v>
      </c>
      <c r="B241" s="15" t="str">
        <f t="shared" si="4"/>
        <v>R007</v>
      </c>
    </row>
    <row r="242" ht="20.4" spans="1:2">
      <c r="A242" s="18" t="s">
        <v>1170</v>
      </c>
      <c r="B242" s="15" t="str">
        <f t="shared" si="4"/>
        <v>R007</v>
      </c>
    </row>
    <row r="243" ht="20.4" spans="1:2">
      <c r="A243" s="18" t="s">
        <v>1183</v>
      </c>
      <c r="B243" s="15" t="str">
        <f t="shared" si="4"/>
        <v>R008</v>
      </c>
    </row>
    <row r="244" ht="20.4" spans="1:2">
      <c r="A244" s="18" t="s">
        <v>1185</v>
      </c>
      <c r="B244" s="15" t="str">
        <f t="shared" si="4"/>
        <v>R009</v>
      </c>
    </row>
    <row r="245" ht="20.4" spans="1:2">
      <c r="A245" s="18" t="s">
        <v>1185</v>
      </c>
      <c r="B245" s="15" t="str">
        <f t="shared" si="4"/>
        <v>R009</v>
      </c>
    </row>
    <row r="246" ht="20.4" spans="1:2">
      <c r="A246" s="18" t="s">
        <v>1241</v>
      </c>
      <c r="B246" s="15" t="str">
        <f t="shared" si="4"/>
        <v>-</v>
      </c>
    </row>
    <row r="247" ht="20.4" spans="1:2">
      <c r="A247" s="18" t="s">
        <v>1242</v>
      </c>
      <c r="B247" s="15" t="str">
        <f t="shared" si="4"/>
        <v>-</v>
      </c>
    </row>
    <row r="248" ht="20.4" spans="1:2">
      <c r="A248" s="18" t="s">
        <v>1180</v>
      </c>
      <c r="B248" s="15" t="str">
        <f t="shared" si="4"/>
        <v>R006</v>
      </c>
    </row>
    <row r="249" ht="20.4" spans="1:2">
      <c r="A249" s="18" t="s">
        <v>1180</v>
      </c>
      <c r="B249" s="15" t="str">
        <f t="shared" si="4"/>
        <v>R006</v>
      </c>
    </row>
    <row r="250" ht="20.4" spans="1:2">
      <c r="A250" s="18" t="s">
        <v>1180</v>
      </c>
      <c r="B250" s="15" t="str">
        <f t="shared" si="4"/>
        <v>R006</v>
      </c>
    </row>
    <row r="251" ht="20.4" spans="1:2">
      <c r="A251" s="18" t="s">
        <v>1187</v>
      </c>
      <c r="B251" s="15" t="str">
        <f t="shared" si="4"/>
        <v>R010</v>
      </c>
    </row>
    <row r="252" ht="20.4" spans="1:2">
      <c r="A252" s="18" t="s">
        <v>1187</v>
      </c>
      <c r="B252" s="15" t="str">
        <f t="shared" si="4"/>
        <v>R010</v>
      </c>
    </row>
    <row r="253" ht="20.4" spans="1:2">
      <c r="A253" s="22" t="s">
        <v>1234</v>
      </c>
      <c r="B253" s="15" t="str">
        <f t="shared" si="4"/>
        <v>R025</v>
      </c>
    </row>
    <row r="254" ht="20.4" spans="1:2">
      <c r="A254" s="20" t="s">
        <v>1170</v>
      </c>
      <c r="B254" s="15" t="str">
        <f t="shared" si="4"/>
        <v>R007</v>
      </c>
    </row>
    <row r="255" ht="20.4" spans="1:2">
      <c r="A255" s="21" t="s">
        <v>1170</v>
      </c>
      <c r="B255" s="15" t="str">
        <f t="shared" si="4"/>
        <v>R007</v>
      </c>
    </row>
    <row r="256" ht="20.4" spans="1:2">
      <c r="A256" s="18" t="s">
        <v>1180</v>
      </c>
      <c r="B256" s="15" t="str">
        <f t="shared" si="4"/>
        <v>R006</v>
      </c>
    </row>
    <row r="257" ht="20.4" spans="1:2">
      <c r="A257" s="18" t="s">
        <v>1180</v>
      </c>
      <c r="B257" s="15" t="str">
        <f t="shared" si="4"/>
        <v>R006</v>
      </c>
    </row>
    <row r="258" ht="20.4" spans="1:2">
      <c r="A258" s="18" t="s">
        <v>1183</v>
      </c>
      <c r="B258" s="15" t="str">
        <f t="shared" si="4"/>
        <v>R008</v>
      </c>
    </row>
    <row r="259" ht="20.4" spans="1:2">
      <c r="A259" s="18" t="s">
        <v>1169</v>
      </c>
      <c r="B259" s="15" t="str">
        <f t="shared" ref="B259:B286" si="5">_xlfn.XLOOKUP(A259,$G$2:$G$33,$F$2:$F$33,"-")</f>
        <v>R001</v>
      </c>
    </row>
    <row r="260" ht="20.4" spans="1:2">
      <c r="A260" s="18" t="s">
        <v>1169</v>
      </c>
      <c r="B260" s="15" t="str">
        <f t="shared" si="5"/>
        <v>R001</v>
      </c>
    </row>
    <row r="261" ht="20.4" spans="1:2">
      <c r="A261" s="18" t="s">
        <v>1176</v>
      </c>
      <c r="B261" s="15" t="str">
        <f t="shared" si="5"/>
        <v>R004</v>
      </c>
    </row>
    <row r="262" ht="20.4" spans="1:2">
      <c r="A262" s="18" t="s">
        <v>1176</v>
      </c>
      <c r="B262" s="15" t="str">
        <f t="shared" si="5"/>
        <v>R004</v>
      </c>
    </row>
    <row r="263" ht="20.4" spans="1:2">
      <c r="A263" s="18" t="s">
        <v>1172</v>
      </c>
      <c r="B263" s="15" t="str">
        <f t="shared" si="5"/>
        <v>R002</v>
      </c>
    </row>
    <row r="264" ht="20.4" spans="1:2">
      <c r="A264" s="18" t="s">
        <v>1172</v>
      </c>
      <c r="B264" s="15" t="str">
        <f t="shared" si="5"/>
        <v>R002</v>
      </c>
    </row>
    <row r="265" ht="20.4" spans="1:2">
      <c r="A265" s="18" t="s">
        <v>1185</v>
      </c>
      <c r="B265" s="15" t="str">
        <f t="shared" si="5"/>
        <v>R009</v>
      </c>
    </row>
    <row r="266" ht="20.4" spans="1:2">
      <c r="A266" s="18" t="s">
        <v>1185</v>
      </c>
      <c r="B266" s="15" t="str">
        <f t="shared" si="5"/>
        <v>R009</v>
      </c>
    </row>
    <row r="267" ht="20.4" spans="1:2">
      <c r="A267" s="18" t="s">
        <v>1178</v>
      </c>
      <c r="B267" s="15" t="str">
        <f t="shared" si="5"/>
        <v>R005</v>
      </c>
    </row>
    <row r="268" ht="20.4" spans="1:2">
      <c r="A268" s="18" t="s">
        <v>1178</v>
      </c>
      <c r="B268" s="15" t="str">
        <f t="shared" si="5"/>
        <v>R005</v>
      </c>
    </row>
    <row r="269" ht="20.4" spans="1:2">
      <c r="A269" s="18" t="s">
        <v>1234</v>
      </c>
      <c r="B269" s="15" t="str">
        <f t="shared" si="5"/>
        <v>R025</v>
      </c>
    </row>
    <row r="270" ht="20.4" spans="1:2">
      <c r="A270" s="18" t="s">
        <v>1234</v>
      </c>
      <c r="B270" s="15" t="str">
        <f t="shared" si="5"/>
        <v>R025</v>
      </c>
    </row>
    <row r="271" ht="20.4" spans="1:2">
      <c r="A271" s="18" t="s">
        <v>1234</v>
      </c>
      <c r="B271" s="15" t="str">
        <f t="shared" si="5"/>
        <v>R025</v>
      </c>
    </row>
    <row r="272" ht="20.4" spans="1:2">
      <c r="A272" s="18" t="s">
        <v>1234</v>
      </c>
      <c r="B272" s="15" t="str">
        <f t="shared" si="5"/>
        <v>R025</v>
      </c>
    </row>
    <row r="273" ht="20.4" spans="1:2">
      <c r="A273" s="20" t="s">
        <v>1176</v>
      </c>
      <c r="B273" s="15" t="str">
        <f t="shared" si="5"/>
        <v>R004</v>
      </c>
    </row>
    <row r="274" ht="20.4" spans="1:2">
      <c r="A274" s="21" t="s">
        <v>1170</v>
      </c>
      <c r="B274" s="15" t="str">
        <f t="shared" si="5"/>
        <v>R007</v>
      </c>
    </row>
    <row r="275" ht="20.4" spans="1:2">
      <c r="A275" s="18" t="s">
        <v>1238</v>
      </c>
      <c r="B275" s="15" t="str">
        <f t="shared" si="5"/>
        <v>R030</v>
      </c>
    </row>
    <row r="276" ht="20.4" spans="1:2">
      <c r="A276" s="18" t="s">
        <v>1183</v>
      </c>
      <c r="B276" s="15" t="str">
        <f t="shared" si="5"/>
        <v>R008</v>
      </c>
    </row>
    <row r="277" ht="20.4" spans="1:2">
      <c r="A277" s="18" t="s">
        <v>1183</v>
      </c>
      <c r="B277" s="15" t="str">
        <f t="shared" si="5"/>
        <v>R008</v>
      </c>
    </row>
    <row r="278" ht="20.4" spans="1:2">
      <c r="A278" s="18" t="s">
        <v>1183</v>
      </c>
      <c r="B278" s="15" t="str">
        <f t="shared" si="5"/>
        <v>R008</v>
      </c>
    </row>
    <row r="279" ht="20.4" spans="1:2">
      <c r="A279" s="18" t="s">
        <v>207</v>
      </c>
      <c r="B279" s="15" t="str">
        <f t="shared" si="5"/>
        <v>-</v>
      </c>
    </row>
    <row r="280" ht="20.4" spans="1:2">
      <c r="A280" s="18" t="s">
        <v>1180</v>
      </c>
      <c r="B280" s="15" t="str">
        <f t="shared" si="5"/>
        <v>R006</v>
      </c>
    </row>
    <row r="281" ht="20.4" spans="1:2">
      <c r="A281" s="18" t="s">
        <v>1180</v>
      </c>
      <c r="B281" s="15" t="str">
        <f t="shared" si="5"/>
        <v>R006</v>
      </c>
    </row>
    <row r="282" ht="20.4" spans="1:2">
      <c r="A282" s="18" t="s">
        <v>1234</v>
      </c>
      <c r="B282" s="15" t="str">
        <f t="shared" si="5"/>
        <v>R025</v>
      </c>
    </row>
    <row r="283" ht="20.4" spans="1:2">
      <c r="A283" s="18" t="s">
        <v>1234</v>
      </c>
      <c r="B283" s="15" t="str">
        <f t="shared" si="5"/>
        <v>R025</v>
      </c>
    </row>
    <row r="284" ht="20.4" spans="1:2">
      <c r="A284" s="18" t="s">
        <v>1234</v>
      </c>
      <c r="B284" s="15" t="str">
        <f t="shared" si="5"/>
        <v>R025</v>
      </c>
    </row>
    <row r="285" ht="20.4" spans="1:2">
      <c r="A285" s="18" t="s">
        <v>1234</v>
      </c>
      <c r="B285" s="15" t="str">
        <f t="shared" si="5"/>
        <v>R025</v>
      </c>
    </row>
    <row r="286" ht="20.4" spans="1:2">
      <c r="A286" s="20" t="s">
        <v>1234</v>
      </c>
      <c r="B286" s="15" t="str">
        <f t="shared" si="5"/>
        <v>R025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6"/>
  <sheetViews>
    <sheetView zoomScale="85" zoomScaleNormal="85" workbookViewId="0">
      <selection activeCell="I14" sqref="I14"/>
    </sheetView>
  </sheetViews>
  <sheetFormatPr defaultColWidth="9" defaultRowHeight="20.4" outlineLevelCol="2"/>
  <cols>
    <col min="1" max="2" width="4.75" style="1" customWidth="1"/>
    <col min="3" max="3" width="86.25" customWidth="1"/>
  </cols>
  <sheetData>
    <row r="1" ht="21" spans="1:3">
      <c r="A1" s="2" t="s">
        <v>817</v>
      </c>
      <c r="B1" s="2" t="s">
        <v>937</v>
      </c>
      <c r="C1" s="3" t="s">
        <v>8</v>
      </c>
    </row>
    <row r="2" spans="1:3">
      <c r="A2" s="4">
        <v>1</v>
      </c>
      <c r="B2" s="4">
        <v>1</v>
      </c>
      <c r="C2" s="5" t="s">
        <v>944</v>
      </c>
    </row>
    <row r="3" spans="1:3">
      <c r="A3" s="4">
        <v>2</v>
      </c>
      <c r="B3" s="4">
        <v>2</v>
      </c>
      <c r="C3" s="6" t="s">
        <v>944</v>
      </c>
    </row>
    <row r="4" spans="1:3">
      <c r="A4" s="4">
        <v>3</v>
      </c>
      <c r="B4" s="4">
        <v>3</v>
      </c>
      <c r="C4" s="6" t="s">
        <v>945</v>
      </c>
    </row>
    <row r="5" spans="1:3">
      <c r="A5" s="4">
        <v>3</v>
      </c>
      <c r="B5" s="4">
        <v>4</v>
      </c>
      <c r="C5" s="6" t="s">
        <v>946</v>
      </c>
    </row>
    <row r="6" spans="1:3">
      <c r="A6" s="4">
        <v>3</v>
      </c>
      <c r="B6" s="4">
        <v>5</v>
      </c>
      <c r="C6" s="6" t="s">
        <v>946</v>
      </c>
    </row>
    <row r="7" spans="1:3">
      <c r="A7" s="4">
        <v>3</v>
      </c>
      <c r="B7" s="4">
        <v>6</v>
      </c>
      <c r="C7" s="6" t="s">
        <v>946</v>
      </c>
    </row>
    <row r="8" spans="1:3">
      <c r="A8" s="4">
        <v>4</v>
      </c>
      <c r="B8" s="4">
        <v>7</v>
      </c>
      <c r="C8" s="6" t="s">
        <v>947</v>
      </c>
    </row>
    <row r="9" ht="40.8" spans="1:3">
      <c r="A9" s="4">
        <v>5</v>
      </c>
      <c r="B9" s="4">
        <v>8</v>
      </c>
      <c r="C9" s="6" t="s">
        <v>948</v>
      </c>
    </row>
    <row r="10" ht="40.8" spans="1:3">
      <c r="A10" s="4">
        <v>6</v>
      </c>
      <c r="B10" s="4">
        <v>9</v>
      </c>
      <c r="C10" s="6" t="s">
        <v>949</v>
      </c>
    </row>
    <row r="11" spans="1:3">
      <c r="A11" s="4">
        <v>7</v>
      </c>
      <c r="B11" s="4">
        <v>10</v>
      </c>
      <c r="C11" s="6" t="s">
        <v>950</v>
      </c>
    </row>
    <row r="12" spans="1:3">
      <c r="A12" s="4">
        <v>8</v>
      </c>
      <c r="B12" s="4">
        <v>11</v>
      </c>
      <c r="C12" s="6" t="s">
        <v>951</v>
      </c>
    </row>
    <row r="13" ht="40.8" spans="1:3">
      <c r="A13" s="4">
        <v>9</v>
      </c>
      <c r="B13" s="4">
        <v>12</v>
      </c>
      <c r="C13" s="6" t="s">
        <v>952</v>
      </c>
    </row>
    <row r="14" spans="1:3">
      <c r="A14" s="4">
        <v>10</v>
      </c>
      <c r="B14" s="4">
        <v>13</v>
      </c>
      <c r="C14" s="6" t="s">
        <v>953</v>
      </c>
    </row>
    <row r="15" spans="1:3">
      <c r="A15" s="4">
        <v>11</v>
      </c>
      <c r="B15" s="4">
        <v>14</v>
      </c>
      <c r="C15" s="6" t="s">
        <v>954</v>
      </c>
    </row>
    <row r="16" spans="1:3">
      <c r="A16" s="4">
        <v>11</v>
      </c>
      <c r="B16" s="4">
        <v>15</v>
      </c>
      <c r="C16" s="6" t="s">
        <v>954</v>
      </c>
    </row>
    <row r="17" spans="1:3">
      <c r="A17" s="4">
        <v>12</v>
      </c>
      <c r="B17" s="4">
        <v>16</v>
      </c>
      <c r="C17" s="6" t="s">
        <v>955</v>
      </c>
    </row>
    <row r="18" spans="1:3">
      <c r="A18" s="4">
        <v>13</v>
      </c>
      <c r="B18" s="4">
        <v>17</v>
      </c>
      <c r="C18" s="7" t="s">
        <v>956</v>
      </c>
    </row>
    <row r="19" ht="40.8" spans="1:3">
      <c r="A19" s="4">
        <v>14</v>
      </c>
      <c r="B19" s="4">
        <v>18</v>
      </c>
      <c r="C19" s="6" t="s">
        <v>957</v>
      </c>
    </row>
    <row r="20" spans="1:3">
      <c r="A20" s="4">
        <v>14</v>
      </c>
      <c r="B20" s="4">
        <v>19</v>
      </c>
      <c r="C20" s="6" t="s">
        <v>958</v>
      </c>
    </row>
    <row r="21" spans="1:3">
      <c r="A21" s="4">
        <v>15</v>
      </c>
      <c r="B21" s="4">
        <v>20</v>
      </c>
      <c r="C21" s="6" t="s">
        <v>959</v>
      </c>
    </row>
    <row r="22" spans="1:3">
      <c r="A22" s="4">
        <v>15</v>
      </c>
      <c r="B22" s="4">
        <v>21</v>
      </c>
      <c r="C22" s="6" t="s">
        <v>960</v>
      </c>
    </row>
    <row r="23" spans="1:3">
      <c r="A23" s="4">
        <v>15</v>
      </c>
      <c r="B23" s="4">
        <v>22</v>
      </c>
      <c r="C23" s="6" t="s">
        <v>961</v>
      </c>
    </row>
    <row r="24" ht="40.8" spans="1:3">
      <c r="A24" s="4">
        <v>16</v>
      </c>
      <c r="B24" s="4">
        <v>23</v>
      </c>
      <c r="C24" s="6" t="s">
        <v>962</v>
      </c>
    </row>
    <row r="25" ht="40.8" spans="1:3">
      <c r="A25" s="4">
        <v>17</v>
      </c>
      <c r="B25" s="4">
        <v>24</v>
      </c>
      <c r="C25" s="6" t="s">
        <v>963</v>
      </c>
    </row>
    <row r="26" ht="40.8" spans="1:3">
      <c r="A26" s="4">
        <v>18</v>
      </c>
      <c r="B26" s="4">
        <v>25</v>
      </c>
      <c r="C26" s="6" t="s">
        <v>963</v>
      </c>
    </row>
    <row r="27" ht="40.8" spans="1:3">
      <c r="A27" s="4">
        <v>18</v>
      </c>
      <c r="B27" s="4">
        <v>26</v>
      </c>
      <c r="C27" s="6" t="s">
        <v>963</v>
      </c>
    </row>
    <row r="28" spans="1:3">
      <c r="A28" s="4">
        <v>19</v>
      </c>
      <c r="B28" s="4">
        <v>27</v>
      </c>
      <c r="C28" s="6" t="s">
        <v>966</v>
      </c>
    </row>
    <row r="29" ht="40.8" spans="1:3">
      <c r="A29" s="4">
        <v>20</v>
      </c>
      <c r="B29" s="4">
        <v>28</v>
      </c>
      <c r="C29" s="6" t="s">
        <v>967</v>
      </c>
    </row>
    <row r="30" spans="1:3">
      <c r="A30" s="4">
        <v>21</v>
      </c>
      <c r="B30" s="4">
        <v>29</v>
      </c>
      <c r="C30" s="6" t="s">
        <v>968</v>
      </c>
    </row>
    <row r="31" spans="1:3">
      <c r="A31" s="4">
        <v>22</v>
      </c>
      <c r="B31" s="4">
        <v>30</v>
      </c>
      <c r="C31" s="6" t="s">
        <v>954</v>
      </c>
    </row>
    <row r="32" spans="1:3">
      <c r="A32" s="4">
        <v>22</v>
      </c>
      <c r="B32" s="4">
        <v>31</v>
      </c>
      <c r="C32" s="6" t="s">
        <v>954</v>
      </c>
    </row>
    <row r="33" ht="40.8" spans="1:3">
      <c r="A33" s="4">
        <v>23</v>
      </c>
      <c r="B33" s="4">
        <v>32</v>
      </c>
      <c r="C33" s="6" t="s">
        <v>969</v>
      </c>
    </row>
    <row r="34" ht="40.8" spans="1:3">
      <c r="A34" s="4">
        <v>23</v>
      </c>
      <c r="B34" s="4">
        <v>33</v>
      </c>
      <c r="C34" s="6" t="s">
        <v>969</v>
      </c>
    </row>
    <row r="35" ht="40.8" spans="1:3">
      <c r="A35" s="4">
        <v>24</v>
      </c>
      <c r="B35" s="4">
        <v>34</v>
      </c>
      <c r="C35" s="7" t="s">
        <v>969</v>
      </c>
    </row>
    <row r="36" spans="1:3">
      <c r="A36" s="4">
        <v>25</v>
      </c>
      <c r="B36" s="4">
        <v>35</v>
      </c>
      <c r="C36" s="8" t="s">
        <v>970</v>
      </c>
    </row>
    <row r="37" spans="1:3">
      <c r="A37" s="4">
        <v>26</v>
      </c>
      <c r="B37" s="4">
        <v>36</v>
      </c>
      <c r="C37" s="6" t="s">
        <v>970</v>
      </c>
    </row>
    <row r="38" spans="1:3">
      <c r="A38" s="4">
        <v>27</v>
      </c>
      <c r="B38" s="4">
        <v>37</v>
      </c>
      <c r="C38" s="6" t="s">
        <v>971</v>
      </c>
    </row>
    <row r="39" spans="1:3">
      <c r="A39" s="4">
        <v>28</v>
      </c>
      <c r="B39" s="4">
        <v>38</v>
      </c>
      <c r="C39" s="6" t="s">
        <v>972</v>
      </c>
    </row>
    <row r="40" spans="1:3">
      <c r="A40" s="4">
        <v>28</v>
      </c>
      <c r="B40" s="4">
        <v>39</v>
      </c>
      <c r="C40" s="6" t="s">
        <v>144</v>
      </c>
    </row>
    <row r="41" spans="1:3">
      <c r="A41" s="4">
        <v>28</v>
      </c>
      <c r="B41" s="4">
        <v>40</v>
      </c>
      <c r="C41" s="6" t="s">
        <v>144</v>
      </c>
    </row>
    <row r="42" ht="40.8" spans="1:3">
      <c r="A42" s="4">
        <v>29</v>
      </c>
      <c r="B42" s="4">
        <v>41</v>
      </c>
      <c r="C42" s="6" t="s">
        <v>973</v>
      </c>
    </row>
    <row r="43" ht="40.8" spans="1:3">
      <c r="A43" s="4">
        <v>29</v>
      </c>
      <c r="B43" s="4">
        <v>42</v>
      </c>
      <c r="C43" s="6" t="s">
        <v>973</v>
      </c>
    </row>
    <row r="44" spans="1:3">
      <c r="A44" s="4">
        <v>30</v>
      </c>
      <c r="B44" s="4">
        <v>43</v>
      </c>
      <c r="C44" s="6" t="s">
        <v>974</v>
      </c>
    </row>
    <row r="45" spans="1:3">
      <c r="A45" s="4">
        <v>31</v>
      </c>
      <c r="B45" s="4">
        <v>44</v>
      </c>
      <c r="C45" s="6" t="s">
        <v>975</v>
      </c>
    </row>
    <row r="46" spans="1:3">
      <c r="A46" s="4">
        <v>32</v>
      </c>
      <c r="B46" s="4">
        <v>45</v>
      </c>
      <c r="C46" s="6" t="s">
        <v>975</v>
      </c>
    </row>
    <row r="47" spans="1:3">
      <c r="A47" s="4">
        <v>33</v>
      </c>
      <c r="B47" s="4">
        <v>46</v>
      </c>
      <c r="C47" s="6" t="s">
        <v>976</v>
      </c>
    </row>
    <row r="48" spans="1:3">
      <c r="A48" s="4">
        <v>34</v>
      </c>
      <c r="B48" s="4">
        <v>47</v>
      </c>
      <c r="C48" s="6" t="s">
        <v>977</v>
      </c>
    </row>
    <row r="49" ht="40.8" spans="1:3">
      <c r="A49" s="4">
        <v>35</v>
      </c>
      <c r="B49" s="4">
        <v>48</v>
      </c>
      <c r="C49" s="6" t="s">
        <v>978</v>
      </c>
    </row>
    <row r="50" ht="40.8" spans="1:3">
      <c r="A50" s="4">
        <v>36</v>
      </c>
      <c r="B50" s="4">
        <v>49</v>
      </c>
      <c r="C50" s="9" t="s">
        <v>978</v>
      </c>
    </row>
    <row r="51" spans="1:3">
      <c r="A51" s="4">
        <v>37</v>
      </c>
      <c r="B51" s="4">
        <v>50</v>
      </c>
      <c r="C51" s="7" t="s">
        <v>177</v>
      </c>
    </row>
    <row r="52" ht="40.8" spans="1:3">
      <c r="A52" s="4">
        <v>38</v>
      </c>
      <c r="B52" s="4">
        <v>51</v>
      </c>
      <c r="C52" s="8" t="s">
        <v>980</v>
      </c>
    </row>
    <row r="53" spans="1:3">
      <c r="A53" s="4">
        <v>39</v>
      </c>
      <c r="B53" s="4">
        <v>52</v>
      </c>
      <c r="C53" s="6" t="s">
        <v>981</v>
      </c>
    </row>
    <row r="54" spans="1:3">
      <c r="A54" s="4">
        <v>40</v>
      </c>
      <c r="B54" s="4">
        <v>53</v>
      </c>
      <c r="C54" s="6" t="s">
        <v>982</v>
      </c>
    </row>
    <row r="55" spans="1:3">
      <c r="A55" s="4">
        <v>41</v>
      </c>
      <c r="B55" s="4">
        <v>54</v>
      </c>
      <c r="C55" s="6" t="s">
        <v>982</v>
      </c>
    </row>
    <row r="56" spans="1:3">
      <c r="A56" s="4">
        <v>42</v>
      </c>
      <c r="B56" s="4">
        <v>55</v>
      </c>
      <c r="C56" s="6" t="s">
        <v>983</v>
      </c>
    </row>
    <row r="57" spans="1:3">
      <c r="A57" s="4">
        <v>43</v>
      </c>
      <c r="B57" s="4">
        <v>56</v>
      </c>
      <c r="C57" s="8" t="s">
        <v>984</v>
      </c>
    </row>
    <row r="58" spans="1:3">
      <c r="A58" s="4">
        <v>44</v>
      </c>
      <c r="B58" s="4">
        <v>57</v>
      </c>
      <c r="C58" s="6" t="s">
        <v>985</v>
      </c>
    </row>
    <row r="59" spans="1:3">
      <c r="A59" s="4">
        <v>44</v>
      </c>
      <c r="B59" s="4">
        <v>58</v>
      </c>
      <c r="C59" s="6" t="s">
        <v>985</v>
      </c>
    </row>
    <row r="60" spans="1:3">
      <c r="A60" s="4">
        <v>44</v>
      </c>
      <c r="B60" s="4">
        <v>59</v>
      </c>
      <c r="C60" s="6" t="s">
        <v>985</v>
      </c>
    </row>
    <row r="61" ht="40.8" spans="1:3">
      <c r="A61" s="4">
        <v>45</v>
      </c>
      <c r="B61" s="4">
        <v>60</v>
      </c>
      <c r="C61" s="6" t="s">
        <v>987</v>
      </c>
    </row>
    <row r="62" ht="40.8" spans="1:3">
      <c r="A62" s="4">
        <v>45</v>
      </c>
      <c r="B62" s="4">
        <v>61</v>
      </c>
      <c r="C62" s="6" t="s">
        <v>987</v>
      </c>
    </row>
    <row r="63" ht="40.8" spans="1:3">
      <c r="A63" s="4">
        <v>46</v>
      </c>
      <c r="B63" s="4">
        <v>62</v>
      </c>
      <c r="C63" s="6" t="s">
        <v>987</v>
      </c>
    </row>
    <row r="64" ht="40.8" spans="1:3">
      <c r="A64" s="4">
        <v>46</v>
      </c>
      <c r="B64" s="4">
        <v>63</v>
      </c>
      <c r="C64" s="9" t="s">
        <v>987</v>
      </c>
    </row>
    <row r="65" spans="1:3">
      <c r="A65" s="4">
        <v>47</v>
      </c>
      <c r="B65" s="4">
        <v>64</v>
      </c>
      <c r="C65" s="7" t="s">
        <v>208</v>
      </c>
    </row>
    <row r="66" spans="1:3">
      <c r="A66" s="4">
        <v>48</v>
      </c>
      <c r="B66" s="4">
        <v>65</v>
      </c>
      <c r="C66" s="8" t="s">
        <v>990</v>
      </c>
    </row>
    <row r="67" spans="1:3">
      <c r="A67" s="4">
        <v>49</v>
      </c>
      <c r="B67" s="4">
        <v>66</v>
      </c>
      <c r="C67" s="6" t="s">
        <v>991</v>
      </c>
    </row>
    <row r="68" ht="40.8" spans="1:3">
      <c r="A68" s="4">
        <v>50</v>
      </c>
      <c r="B68" s="4">
        <v>67</v>
      </c>
      <c r="C68" s="6" t="s">
        <v>992</v>
      </c>
    </row>
    <row r="69" ht="40.8" spans="1:3">
      <c r="A69" s="4">
        <v>50</v>
      </c>
      <c r="B69" s="4">
        <v>68</v>
      </c>
      <c r="C69" s="6" t="s">
        <v>993</v>
      </c>
    </row>
    <row r="70" ht="40.8" spans="1:3">
      <c r="A70" s="4">
        <v>50</v>
      </c>
      <c r="B70" s="4">
        <v>69</v>
      </c>
      <c r="C70" s="6" t="s">
        <v>994</v>
      </c>
    </row>
    <row r="71" ht="40.8" spans="1:3">
      <c r="A71" s="4">
        <v>51</v>
      </c>
      <c r="B71" s="4">
        <v>70</v>
      </c>
      <c r="C71" s="6" t="s">
        <v>995</v>
      </c>
    </row>
    <row r="72" ht="40.8" spans="1:3">
      <c r="A72" s="4">
        <v>52</v>
      </c>
      <c r="B72" s="4">
        <v>71</v>
      </c>
      <c r="C72" s="6" t="s">
        <v>995</v>
      </c>
    </row>
    <row r="73" spans="1:3">
      <c r="A73" s="4">
        <v>53</v>
      </c>
      <c r="B73" s="4">
        <v>72</v>
      </c>
      <c r="C73" s="6" t="s">
        <v>996</v>
      </c>
    </row>
    <row r="74" spans="1:3">
      <c r="A74" s="4">
        <v>53</v>
      </c>
      <c r="B74" s="4">
        <v>73</v>
      </c>
      <c r="C74" s="6" t="s">
        <v>997</v>
      </c>
    </row>
    <row r="75" spans="1:3">
      <c r="A75" s="4">
        <v>54</v>
      </c>
      <c r="B75" s="4">
        <v>74</v>
      </c>
      <c r="C75" s="6" t="s">
        <v>997</v>
      </c>
    </row>
    <row r="76" spans="1:3">
      <c r="A76" s="4">
        <v>55</v>
      </c>
      <c r="B76" s="4">
        <v>75</v>
      </c>
      <c r="C76" s="6" t="s">
        <v>998</v>
      </c>
    </row>
    <row r="77" spans="1:3">
      <c r="A77" s="4">
        <v>56</v>
      </c>
      <c r="B77" s="4">
        <v>76</v>
      </c>
      <c r="C77" s="6" t="s">
        <v>999</v>
      </c>
    </row>
    <row r="78" spans="1:3">
      <c r="A78" s="4">
        <v>56</v>
      </c>
      <c r="B78" s="4">
        <v>77</v>
      </c>
      <c r="C78" s="6" t="s">
        <v>999</v>
      </c>
    </row>
    <row r="79" spans="1:3">
      <c r="A79" s="4">
        <v>57</v>
      </c>
      <c r="B79" s="4">
        <v>78</v>
      </c>
      <c r="C79" s="6" t="s">
        <v>1000</v>
      </c>
    </row>
    <row r="80" spans="1:3">
      <c r="A80" s="4">
        <v>57</v>
      </c>
      <c r="B80" s="4">
        <v>79</v>
      </c>
      <c r="C80" s="6" t="s">
        <v>1001</v>
      </c>
    </row>
    <row r="81" ht="40.8" spans="1:3">
      <c r="A81" s="4">
        <v>58</v>
      </c>
      <c r="B81" s="4">
        <v>80</v>
      </c>
      <c r="C81" s="6" t="s">
        <v>1002</v>
      </c>
    </row>
    <row r="82" ht="40.8" spans="1:3">
      <c r="A82" s="4">
        <v>59</v>
      </c>
      <c r="B82" s="4">
        <v>81</v>
      </c>
      <c r="C82" s="6" t="s">
        <v>1002</v>
      </c>
    </row>
    <row r="83" ht="40.8" spans="1:3">
      <c r="A83" s="4">
        <v>60</v>
      </c>
      <c r="B83" s="4">
        <v>82</v>
      </c>
      <c r="C83" s="6" t="s">
        <v>1002</v>
      </c>
    </row>
    <row r="84" spans="1:3">
      <c r="A84" s="4">
        <v>61</v>
      </c>
      <c r="B84" s="4">
        <v>83</v>
      </c>
      <c r="C84" s="6" t="s">
        <v>1000</v>
      </c>
    </row>
    <row r="85" spans="1:3">
      <c r="A85" s="4">
        <v>62</v>
      </c>
      <c r="B85" s="4">
        <v>84</v>
      </c>
      <c r="C85" s="6" t="s">
        <v>1003</v>
      </c>
    </row>
    <row r="86" spans="1:3">
      <c r="A86" s="4">
        <v>62</v>
      </c>
      <c r="B86" s="4">
        <v>85</v>
      </c>
      <c r="C86" s="6" t="s">
        <v>997</v>
      </c>
    </row>
    <row r="87" spans="1:3">
      <c r="A87" s="4">
        <v>63</v>
      </c>
      <c r="B87" s="4">
        <v>86</v>
      </c>
      <c r="C87" s="6" t="s">
        <v>1004</v>
      </c>
    </row>
    <row r="88" spans="1:3">
      <c r="A88" s="4">
        <v>63</v>
      </c>
      <c r="B88" s="4">
        <v>87</v>
      </c>
      <c r="C88" s="6" t="s">
        <v>1005</v>
      </c>
    </row>
    <row r="89" spans="1:3">
      <c r="A89" s="4">
        <v>64</v>
      </c>
      <c r="B89" s="4">
        <v>88</v>
      </c>
      <c r="C89" s="7" t="s">
        <v>1006</v>
      </c>
    </row>
    <row r="90" ht="40.8" spans="1:3">
      <c r="A90" s="4">
        <v>65</v>
      </c>
      <c r="B90" s="4">
        <v>89</v>
      </c>
      <c r="C90" s="8" t="s">
        <v>1007</v>
      </c>
    </row>
    <row r="91" ht="40.8" spans="1:3">
      <c r="A91" s="4">
        <v>66</v>
      </c>
      <c r="B91" s="4">
        <v>90</v>
      </c>
      <c r="C91" s="6" t="s">
        <v>1007</v>
      </c>
    </row>
    <row r="92" ht="40.8" spans="1:3">
      <c r="A92" s="4">
        <v>67</v>
      </c>
      <c r="B92" s="4">
        <v>91</v>
      </c>
      <c r="C92" s="6" t="s">
        <v>1007</v>
      </c>
    </row>
    <row r="93" spans="1:3">
      <c r="A93" s="4">
        <v>68</v>
      </c>
      <c r="B93" s="4">
        <v>92</v>
      </c>
      <c r="C93" s="6" t="s">
        <v>1008</v>
      </c>
    </row>
    <row r="94" spans="1:3">
      <c r="A94" s="4">
        <v>69</v>
      </c>
      <c r="B94" s="4">
        <v>93</v>
      </c>
      <c r="C94" s="6" t="s">
        <v>1008</v>
      </c>
    </row>
    <row r="95" ht="40.8" spans="1:3">
      <c r="A95" s="4">
        <v>70</v>
      </c>
      <c r="B95" s="4">
        <v>94</v>
      </c>
      <c r="C95" s="6" t="s">
        <v>1009</v>
      </c>
    </row>
    <row r="96" ht="40.8" spans="1:3">
      <c r="A96" s="4">
        <v>70</v>
      </c>
      <c r="B96" s="4">
        <v>95</v>
      </c>
      <c r="C96" s="6" t="s">
        <v>1010</v>
      </c>
    </row>
    <row r="97" spans="1:3">
      <c r="A97" s="4">
        <v>70</v>
      </c>
      <c r="B97" s="4">
        <v>96</v>
      </c>
      <c r="C97" s="6" t="s">
        <v>1011</v>
      </c>
    </row>
    <row r="98" spans="1:3">
      <c r="A98" s="4">
        <v>70</v>
      </c>
      <c r="B98" s="4">
        <v>97</v>
      </c>
      <c r="C98" s="6" t="s">
        <v>1012</v>
      </c>
    </row>
    <row r="99" spans="1:3">
      <c r="A99" s="4">
        <v>71</v>
      </c>
      <c r="B99" s="4">
        <v>98</v>
      </c>
      <c r="C99" s="6" t="s">
        <v>1013</v>
      </c>
    </row>
    <row r="100" spans="1:3">
      <c r="A100" s="4">
        <v>71</v>
      </c>
      <c r="B100" s="4">
        <v>99</v>
      </c>
      <c r="C100" s="6" t="s">
        <v>1013</v>
      </c>
    </row>
    <row r="101" spans="1:3">
      <c r="A101" s="4">
        <v>72</v>
      </c>
      <c r="B101" s="4">
        <v>100</v>
      </c>
      <c r="C101" s="6" t="s">
        <v>1014</v>
      </c>
    </row>
    <row r="102" spans="1:3">
      <c r="A102" s="4">
        <v>73</v>
      </c>
      <c r="B102" s="4">
        <v>101</v>
      </c>
      <c r="C102" s="6" t="s">
        <v>1015</v>
      </c>
    </row>
    <row r="103" spans="1:3">
      <c r="A103" s="4">
        <v>74</v>
      </c>
      <c r="B103" s="4">
        <v>102</v>
      </c>
      <c r="C103" s="6" t="s">
        <v>1016</v>
      </c>
    </row>
    <row r="104" spans="1:3">
      <c r="A104" s="4">
        <v>75</v>
      </c>
      <c r="B104" s="4">
        <v>103</v>
      </c>
      <c r="C104" s="6" t="s">
        <v>1017</v>
      </c>
    </row>
    <row r="105" spans="1:3">
      <c r="A105" s="4">
        <v>75</v>
      </c>
      <c r="B105" s="4">
        <v>104</v>
      </c>
      <c r="C105" s="6" t="s">
        <v>1018</v>
      </c>
    </row>
    <row r="106" spans="1:3">
      <c r="A106" s="4">
        <v>76</v>
      </c>
      <c r="B106" s="4">
        <v>105</v>
      </c>
      <c r="C106" s="6" t="s">
        <v>1018</v>
      </c>
    </row>
    <row r="107" spans="1:3">
      <c r="A107" s="4">
        <v>77</v>
      </c>
      <c r="B107" s="4">
        <v>106</v>
      </c>
      <c r="C107" s="6" t="s">
        <v>1019</v>
      </c>
    </row>
    <row r="108" spans="1:3">
      <c r="A108" s="4">
        <v>78</v>
      </c>
      <c r="B108" s="4">
        <v>107</v>
      </c>
      <c r="C108" s="6" t="s">
        <v>1020</v>
      </c>
    </row>
    <row r="109" spans="1:3">
      <c r="A109" s="4">
        <v>78</v>
      </c>
      <c r="B109" s="4">
        <v>108</v>
      </c>
      <c r="C109" s="6" t="s">
        <v>1021</v>
      </c>
    </row>
    <row r="110" spans="1:3">
      <c r="A110" s="4">
        <v>78</v>
      </c>
      <c r="B110" s="4">
        <v>109</v>
      </c>
      <c r="C110" s="6" t="s">
        <v>1022</v>
      </c>
    </row>
    <row r="111" spans="1:3">
      <c r="A111" s="4">
        <v>78</v>
      </c>
      <c r="B111" s="4">
        <v>110</v>
      </c>
      <c r="C111" s="6" t="s">
        <v>1023</v>
      </c>
    </row>
    <row r="112" spans="1:3">
      <c r="A112" s="4">
        <v>78</v>
      </c>
      <c r="B112" s="4">
        <v>111</v>
      </c>
      <c r="C112" s="7" t="s">
        <v>1024</v>
      </c>
    </row>
    <row r="113" spans="1:3">
      <c r="A113" s="4">
        <v>79</v>
      </c>
      <c r="B113" s="4">
        <v>112</v>
      </c>
      <c r="C113" s="8" t="s">
        <v>1025</v>
      </c>
    </row>
    <row r="114" spans="1:3">
      <c r="A114" s="4">
        <v>80</v>
      </c>
      <c r="B114" s="4">
        <v>113</v>
      </c>
      <c r="C114" s="6" t="s">
        <v>1025</v>
      </c>
    </row>
    <row r="115" spans="1:3">
      <c r="A115" s="4">
        <v>81</v>
      </c>
      <c r="B115" s="4">
        <v>114</v>
      </c>
      <c r="C115" s="6" t="s">
        <v>1025</v>
      </c>
    </row>
    <row r="116" spans="1:3">
      <c r="A116" s="4">
        <v>82</v>
      </c>
      <c r="B116" s="4">
        <v>115</v>
      </c>
      <c r="C116" s="6" t="s">
        <v>1026</v>
      </c>
    </row>
    <row r="117" spans="1:3">
      <c r="A117" s="4">
        <v>83</v>
      </c>
      <c r="B117" s="4">
        <v>116</v>
      </c>
      <c r="C117" s="6" t="s">
        <v>1026</v>
      </c>
    </row>
    <row r="118" spans="1:3">
      <c r="A118" s="4">
        <v>84</v>
      </c>
      <c r="B118" s="4">
        <v>117</v>
      </c>
      <c r="C118" s="6" t="s">
        <v>1028</v>
      </c>
    </row>
    <row r="119" spans="1:3">
      <c r="A119" s="4">
        <v>84</v>
      </c>
      <c r="B119" s="4">
        <v>118</v>
      </c>
      <c r="C119" s="6" t="s">
        <v>1028</v>
      </c>
    </row>
    <row r="120" spans="1:3">
      <c r="A120" s="4">
        <v>85</v>
      </c>
      <c r="B120" s="4">
        <v>119</v>
      </c>
      <c r="C120" s="6" t="s">
        <v>1028</v>
      </c>
    </row>
    <row r="121" spans="1:3">
      <c r="A121" s="4">
        <v>86</v>
      </c>
      <c r="B121" s="4">
        <v>120</v>
      </c>
      <c r="C121" s="6" t="s">
        <v>1030</v>
      </c>
    </row>
    <row r="122" spans="1:3">
      <c r="A122" s="4">
        <v>87</v>
      </c>
      <c r="B122" s="4">
        <v>121</v>
      </c>
      <c r="C122" s="6" t="s">
        <v>984</v>
      </c>
    </row>
    <row r="123" spans="1:3">
      <c r="A123" s="4">
        <v>88</v>
      </c>
      <c r="B123" s="4">
        <v>122</v>
      </c>
      <c r="C123" s="6" t="s">
        <v>1031</v>
      </c>
    </row>
    <row r="124" spans="1:3">
      <c r="A124" s="4">
        <v>89</v>
      </c>
      <c r="B124" s="4">
        <v>123</v>
      </c>
      <c r="C124" s="6" t="s">
        <v>1032</v>
      </c>
    </row>
    <row r="125" spans="1:3">
      <c r="A125" s="4">
        <v>89</v>
      </c>
      <c r="B125" s="4">
        <v>124</v>
      </c>
      <c r="C125" s="6" t="s">
        <v>1032</v>
      </c>
    </row>
    <row r="126" spans="1:3">
      <c r="A126" s="4">
        <v>90</v>
      </c>
      <c r="B126" s="4">
        <v>125</v>
      </c>
      <c r="C126" s="6" t="s">
        <v>954</v>
      </c>
    </row>
    <row r="127" ht="40.8" spans="1:3">
      <c r="A127" s="4">
        <v>91</v>
      </c>
      <c r="B127" s="4">
        <v>126</v>
      </c>
      <c r="C127" s="6" t="s">
        <v>1033</v>
      </c>
    </row>
    <row r="128" ht="40.8" spans="1:3">
      <c r="A128" s="4">
        <v>92</v>
      </c>
      <c r="B128" s="4">
        <v>127</v>
      </c>
      <c r="C128" s="7" t="s">
        <v>1033</v>
      </c>
    </row>
    <row r="129" spans="1:3">
      <c r="A129" s="4">
        <v>93</v>
      </c>
      <c r="B129" s="4">
        <v>128</v>
      </c>
      <c r="C129" s="8" t="s">
        <v>1028</v>
      </c>
    </row>
    <row r="130" ht="40.8" spans="1:3">
      <c r="A130" s="4">
        <v>94</v>
      </c>
      <c r="B130" s="4">
        <v>129</v>
      </c>
      <c r="C130" s="6" t="s">
        <v>1034</v>
      </c>
    </row>
    <row r="131" ht="40.8" spans="1:3">
      <c r="A131" s="4">
        <v>95</v>
      </c>
      <c r="B131" s="4">
        <v>130</v>
      </c>
      <c r="C131" s="6" t="s">
        <v>1034</v>
      </c>
    </row>
    <row r="132" spans="1:3">
      <c r="A132" s="4">
        <v>96</v>
      </c>
      <c r="B132" s="4">
        <v>131</v>
      </c>
      <c r="C132" s="6" t="s">
        <v>1035</v>
      </c>
    </row>
    <row r="133" spans="1:3">
      <c r="A133" s="4">
        <v>97</v>
      </c>
      <c r="B133" s="4">
        <v>132</v>
      </c>
      <c r="C133" s="6" t="s">
        <v>1035</v>
      </c>
    </row>
    <row r="134" spans="1:3">
      <c r="A134" s="4">
        <v>98</v>
      </c>
      <c r="B134" s="4">
        <v>133</v>
      </c>
      <c r="C134" s="6" t="s">
        <v>1036</v>
      </c>
    </row>
    <row r="135" spans="1:3">
      <c r="A135" s="4">
        <v>98</v>
      </c>
      <c r="B135" s="4">
        <v>134</v>
      </c>
      <c r="C135" s="6" t="s">
        <v>1036</v>
      </c>
    </row>
    <row r="136" spans="1:3">
      <c r="A136" s="4">
        <v>99</v>
      </c>
      <c r="B136" s="4">
        <v>135</v>
      </c>
      <c r="C136" s="6" t="s">
        <v>998</v>
      </c>
    </row>
    <row r="137" spans="1:3">
      <c r="A137" s="4">
        <v>100</v>
      </c>
      <c r="B137" s="4">
        <v>136</v>
      </c>
      <c r="C137" s="6" t="s">
        <v>1038</v>
      </c>
    </row>
    <row r="138" spans="1:3">
      <c r="A138" s="4">
        <v>101</v>
      </c>
      <c r="B138" s="4">
        <v>137</v>
      </c>
      <c r="C138" s="6" t="s">
        <v>1039</v>
      </c>
    </row>
    <row r="139" spans="1:3">
      <c r="A139" s="4">
        <v>101</v>
      </c>
      <c r="B139" s="4">
        <v>138</v>
      </c>
      <c r="C139" s="6" t="s">
        <v>1039</v>
      </c>
    </row>
    <row r="140" spans="1:3">
      <c r="A140" s="4">
        <v>102</v>
      </c>
      <c r="B140" s="4">
        <v>139</v>
      </c>
      <c r="C140" s="6" t="s">
        <v>1039</v>
      </c>
    </row>
    <row r="141" spans="1:3">
      <c r="A141" s="4">
        <v>102</v>
      </c>
      <c r="B141" s="4">
        <v>140</v>
      </c>
      <c r="C141" s="6" t="s">
        <v>1039</v>
      </c>
    </row>
    <row r="142" spans="1:3">
      <c r="A142" s="4">
        <v>103</v>
      </c>
      <c r="B142" s="4">
        <v>141</v>
      </c>
      <c r="C142" s="7" t="s">
        <v>954</v>
      </c>
    </row>
    <row r="143" spans="1:3">
      <c r="A143" s="4">
        <v>104</v>
      </c>
      <c r="B143" s="4">
        <v>142</v>
      </c>
      <c r="C143" s="8" t="s">
        <v>1042</v>
      </c>
    </row>
    <row r="144" spans="1:3">
      <c r="A144" s="4">
        <v>105</v>
      </c>
      <c r="B144" s="4">
        <v>143</v>
      </c>
      <c r="C144" s="6" t="s">
        <v>1043</v>
      </c>
    </row>
    <row r="145" spans="1:3">
      <c r="A145" s="4">
        <v>105</v>
      </c>
      <c r="B145" s="4">
        <v>144</v>
      </c>
      <c r="C145" s="6" t="s">
        <v>1043</v>
      </c>
    </row>
    <row r="146" ht="40.8" spans="1:3">
      <c r="A146" s="4">
        <v>106</v>
      </c>
      <c r="B146" s="4">
        <v>145</v>
      </c>
      <c r="C146" s="6" t="s">
        <v>1044</v>
      </c>
    </row>
    <row r="147" ht="40.8" spans="1:3">
      <c r="A147" s="4">
        <v>106</v>
      </c>
      <c r="B147" s="4">
        <v>146</v>
      </c>
      <c r="C147" s="6" t="s">
        <v>1045</v>
      </c>
    </row>
    <row r="148" spans="1:3">
      <c r="A148" s="4">
        <v>107</v>
      </c>
      <c r="B148" s="4">
        <v>147</v>
      </c>
      <c r="C148" s="6" t="s">
        <v>984</v>
      </c>
    </row>
    <row r="149" spans="1:3">
      <c r="A149" s="4">
        <v>108</v>
      </c>
      <c r="B149" s="4">
        <v>148</v>
      </c>
      <c r="C149" s="6" t="s">
        <v>1047</v>
      </c>
    </row>
    <row r="150" spans="1:3">
      <c r="A150" s="4">
        <v>109</v>
      </c>
      <c r="B150" s="4">
        <v>149</v>
      </c>
      <c r="C150" s="6" t="s">
        <v>1047</v>
      </c>
    </row>
    <row r="151" ht="40.8" spans="1:3">
      <c r="A151" s="4">
        <v>110</v>
      </c>
      <c r="B151" s="4">
        <v>150</v>
      </c>
      <c r="C151" s="6" t="s">
        <v>1048</v>
      </c>
    </row>
    <row r="152" spans="1:3">
      <c r="A152" s="4">
        <v>111</v>
      </c>
      <c r="B152" s="4">
        <v>151</v>
      </c>
      <c r="C152" s="7" t="s">
        <v>1049</v>
      </c>
    </row>
    <row r="153" spans="1:3">
      <c r="A153" s="4">
        <v>112</v>
      </c>
      <c r="B153" s="4">
        <v>152</v>
      </c>
      <c r="C153" s="8" t="s">
        <v>1050</v>
      </c>
    </row>
    <row r="154" spans="1:3">
      <c r="A154" s="4">
        <v>113</v>
      </c>
      <c r="B154" s="4">
        <v>153</v>
      </c>
      <c r="C154" s="6" t="s">
        <v>1050</v>
      </c>
    </row>
    <row r="155" spans="1:3">
      <c r="A155" s="4">
        <v>114</v>
      </c>
      <c r="B155" s="4">
        <v>154</v>
      </c>
      <c r="C155" s="6" t="s">
        <v>1050</v>
      </c>
    </row>
    <row r="156" spans="1:3">
      <c r="A156" s="4">
        <v>115</v>
      </c>
      <c r="B156" s="4">
        <v>155</v>
      </c>
      <c r="C156" s="6" t="s">
        <v>1051</v>
      </c>
    </row>
    <row r="157" spans="1:3">
      <c r="A157" s="4">
        <v>116</v>
      </c>
      <c r="B157" s="4">
        <v>156</v>
      </c>
      <c r="C157" s="6" t="s">
        <v>1051</v>
      </c>
    </row>
    <row r="158" ht="40.8" spans="1:3">
      <c r="A158" s="4">
        <v>117</v>
      </c>
      <c r="B158" s="4">
        <v>157</v>
      </c>
      <c r="C158" s="6" t="s">
        <v>1052</v>
      </c>
    </row>
    <row r="159" spans="1:3">
      <c r="A159" s="4">
        <v>118</v>
      </c>
      <c r="B159" s="4">
        <v>158</v>
      </c>
      <c r="C159" s="6" t="s">
        <v>144</v>
      </c>
    </row>
    <row r="160" spans="1:3">
      <c r="A160" s="4">
        <v>119</v>
      </c>
      <c r="B160" s="4">
        <v>159</v>
      </c>
      <c r="C160" s="6" t="s">
        <v>1054</v>
      </c>
    </row>
    <row r="161" spans="1:3">
      <c r="A161" s="4">
        <v>120</v>
      </c>
      <c r="B161" s="4">
        <v>160</v>
      </c>
      <c r="C161" s="6" t="s">
        <v>1054</v>
      </c>
    </row>
    <row r="162" ht="40.8" spans="1:3">
      <c r="A162" s="4">
        <v>121</v>
      </c>
      <c r="B162" s="4">
        <v>161</v>
      </c>
      <c r="C162" s="7" t="s">
        <v>1055</v>
      </c>
    </row>
    <row r="163" spans="1:3">
      <c r="A163" s="4">
        <v>122</v>
      </c>
      <c r="B163" s="4">
        <v>162</v>
      </c>
      <c r="C163" s="8" t="s">
        <v>1056</v>
      </c>
    </row>
    <row r="164" spans="1:3">
      <c r="A164" s="4">
        <v>123</v>
      </c>
      <c r="B164" s="4">
        <v>163</v>
      </c>
      <c r="C164" s="6" t="s">
        <v>1057</v>
      </c>
    </row>
    <row r="165" spans="1:3">
      <c r="A165" s="4">
        <v>124</v>
      </c>
      <c r="B165" s="4">
        <v>164</v>
      </c>
      <c r="C165" s="6" t="s">
        <v>1057</v>
      </c>
    </row>
    <row r="166" spans="1:3">
      <c r="A166" s="4">
        <v>125</v>
      </c>
      <c r="B166" s="4">
        <v>165</v>
      </c>
      <c r="C166" s="6" t="s">
        <v>1058</v>
      </c>
    </row>
    <row r="167" spans="1:3">
      <c r="A167" s="4">
        <v>126</v>
      </c>
      <c r="B167" s="4">
        <v>166</v>
      </c>
      <c r="C167" s="6" t="s">
        <v>1059</v>
      </c>
    </row>
    <row r="168" spans="1:3">
      <c r="A168" s="4">
        <v>127</v>
      </c>
      <c r="B168" s="4">
        <v>167</v>
      </c>
      <c r="C168" s="6" t="s">
        <v>1059</v>
      </c>
    </row>
    <row r="169" spans="1:3">
      <c r="A169" s="4">
        <v>128</v>
      </c>
      <c r="B169" s="4">
        <v>168</v>
      </c>
      <c r="C169" s="6" t="s">
        <v>1060</v>
      </c>
    </row>
    <row r="170" spans="1:3">
      <c r="A170" s="4">
        <v>129</v>
      </c>
      <c r="B170" s="4">
        <v>169</v>
      </c>
      <c r="C170" s="6" t="s">
        <v>1061</v>
      </c>
    </row>
    <row r="171" spans="1:3">
      <c r="A171" s="4">
        <v>130</v>
      </c>
      <c r="B171" s="4">
        <v>170</v>
      </c>
      <c r="C171" s="6" t="s">
        <v>1062</v>
      </c>
    </row>
    <row r="172" ht="40.8" spans="1:3">
      <c r="A172" s="4">
        <v>131</v>
      </c>
      <c r="B172" s="4">
        <v>171</v>
      </c>
      <c r="C172" s="6" t="s">
        <v>1063</v>
      </c>
    </row>
    <row r="173" spans="1:3">
      <c r="A173" s="4">
        <v>132</v>
      </c>
      <c r="B173" s="4">
        <v>172</v>
      </c>
      <c r="C173" s="6" t="s">
        <v>1064</v>
      </c>
    </row>
    <row r="174" spans="1:3">
      <c r="A174" s="4">
        <v>133</v>
      </c>
      <c r="B174" s="4">
        <v>173</v>
      </c>
      <c r="C174" s="6" t="s">
        <v>1065</v>
      </c>
    </row>
    <row r="175" spans="1:3">
      <c r="A175" s="4">
        <v>133</v>
      </c>
      <c r="B175" s="4">
        <v>174</v>
      </c>
      <c r="C175" s="6" t="s">
        <v>1065</v>
      </c>
    </row>
    <row r="176" spans="1:3">
      <c r="A176" s="4">
        <v>134</v>
      </c>
      <c r="B176" s="4">
        <v>175</v>
      </c>
      <c r="C176" s="6" t="s">
        <v>1066</v>
      </c>
    </row>
    <row r="177" spans="1:3">
      <c r="A177" s="4">
        <v>134</v>
      </c>
      <c r="B177" s="4">
        <v>176</v>
      </c>
      <c r="C177" s="6" t="s">
        <v>1066</v>
      </c>
    </row>
    <row r="178" spans="1:3">
      <c r="A178" s="4">
        <v>134</v>
      </c>
      <c r="B178" s="4">
        <v>177</v>
      </c>
      <c r="C178" s="7" t="s">
        <v>1066</v>
      </c>
    </row>
    <row r="179" spans="1:3">
      <c r="A179" s="4">
        <v>135</v>
      </c>
      <c r="B179" s="4">
        <v>178</v>
      </c>
      <c r="C179" s="8" t="s">
        <v>1067</v>
      </c>
    </row>
    <row r="180" spans="1:3">
      <c r="A180" s="4">
        <v>136</v>
      </c>
      <c r="B180" s="4">
        <v>179</v>
      </c>
      <c r="C180" s="6" t="s">
        <v>1068</v>
      </c>
    </row>
    <row r="181" spans="1:3">
      <c r="A181" s="4">
        <v>137</v>
      </c>
      <c r="B181" s="4">
        <v>180</v>
      </c>
      <c r="C181" s="6" t="s">
        <v>1069</v>
      </c>
    </row>
    <row r="182" spans="1:3">
      <c r="A182" s="4">
        <v>137</v>
      </c>
      <c r="B182" s="4">
        <v>181</v>
      </c>
      <c r="C182" s="6" t="s">
        <v>1069</v>
      </c>
    </row>
    <row r="183" spans="1:3">
      <c r="A183" s="4">
        <v>138</v>
      </c>
      <c r="B183" s="4">
        <v>182</v>
      </c>
      <c r="C183" s="6" t="s">
        <v>1070</v>
      </c>
    </row>
    <row r="184" spans="1:3">
      <c r="A184" s="4">
        <v>139</v>
      </c>
      <c r="B184" s="4">
        <v>183</v>
      </c>
      <c r="C184" s="6" t="s">
        <v>1070</v>
      </c>
    </row>
    <row r="185" spans="1:3">
      <c r="A185" s="4">
        <v>140</v>
      </c>
      <c r="B185" s="4">
        <v>184</v>
      </c>
      <c r="C185" s="6" t="s">
        <v>1071</v>
      </c>
    </row>
    <row r="186" spans="1:3">
      <c r="A186" s="4">
        <v>141</v>
      </c>
      <c r="B186" s="4">
        <v>185</v>
      </c>
      <c r="C186" s="6" t="s">
        <v>1071</v>
      </c>
    </row>
    <row r="187" spans="1:3">
      <c r="A187" s="4">
        <v>142</v>
      </c>
      <c r="B187" s="4">
        <v>186</v>
      </c>
      <c r="C187" s="6" t="s">
        <v>1072</v>
      </c>
    </row>
    <row r="188" ht="40.8" spans="1:3">
      <c r="A188" s="4">
        <v>143</v>
      </c>
      <c r="B188" s="4">
        <v>187</v>
      </c>
      <c r="C188" s="6" t="s">
        <v>1073</v>
      </c>
    </row>
    <row r="189" spans="1:3">
      <c r="A189" s="4">
        <v>144</v>
      </c>
      <c r="B189" s="4">
        <v>188</v>
      </c>
      <c r="C189" s="6" t="s">
        <v>1074</v>
      </c>
    </row>
    <row r="190" ht="40.8" spans="1:3">
      <c r="A190" s="4">
        <v>145</v>
      </c>
      <c r="B190" s="4">
        <v>189</v>
      </c>
      <c r="C190" s="6" t="s">
        <v>1075</v>
      </c>
    </row>
    <row r="191" spans="1:3">
      <c r="A191" s="4">
        <v>146</v>
      </c>
      <c r="B191" s="4">
        <v>190</v>
      </c>
      <c r="C191" s="6" t="s">
        <v>1076</v>
      </c>
    </row>
    <row r="192" spans="1:3">
      <c r="A192" s="4">
        <v>147</v>
      </c>
      <c r="B192" s="4">
        <v>191</v>
      </c>
      <c r="C192" s="6" t="s">
        <v>1065</v>
      </c>
    </row>
    <row r="193" spans="1:3">
      <c r="A193" s="4">
        <v>147</v>
      </c>
      <c r="B193" s="4">
        <v>192</v>
      </c>
      <c r="C193" s="7" t="s">
        <v>1065</v>
      </c>
    </row>
    <row r="194" spans="1:3">
      <c r="A194" s="4">
        <v>148</v>
      </c>
      <c r="B194" s="4">
        <v>193</v>
      </c>
      <c r="C194" s="8" t="s">
        <v>1077</v>
      </c>
    </row>
    <row r="195" spans="1:3">
      <c r="A195" s="4">
        <v>149</v>
      </c>
      <c r="B195" s="4">
        <v>194</v>
      </c>
      <c r="C195" s="6" t="s">
        <v>1078</v>
      </c>
    </row>
    <row r="196" spans="1:3">
      <c r="A196" s="4">
        <v>149</v>
      </c>
      <c r="B196" s="4">
        <v>195</v>
      </c>
      <c r="C196" s="6" t="s">
        <v>1079</v>
      </c>
    </row>
    <row r="197" spans="1:3">
      <c r="A197" s="4">
        <v>150</v>
      </c>
      <c r="B197" s="4">
        <v>196</v>
      </c>
      <c r="C197" s="6" t="s">
        <v>1080</v>
      </c>
    </row>
    <row r="198" spans="1:3">
      <c r="A198" s="4">
        <v>150</v>
      </c>
      <c r="B198" s="4">
        <v>197</v>
      </c>
      <c r="C198" s="6" t="s">
        <v>1081</v>
      </c>
    </row>
    <row r="199" spans="1:3">
      <c r="A199" s="4">
        <v>151</v>
      </c>
      <c r="B199" s="4">
        <v>198</v>
      </c>
      <c r="C199" s="6" t="s">
        <v>1081</v>
      </c>
    </row>
    <row r="200" spans="1:3">
      <c r="A200" s="4">
        <v>151</v>
      </c>
      <c r="B200" s="4">
        <v>199</v>
      </c>
      <c r="C200" s="6" t="s">
        <v>1082</v>
      </c>
    </row>
    <row r="201" ht="40.8" spans="1:3">
      <c r="A201" s="4">
        <v>152</v>
      </c>
      <c r="B201" s="4">
        <v>200</v>
      </c>
      <c r="C201" s="6" t="s">
        <v>1083</v>
      </c>
    </row>
    <row r="202" ht="40.8" spans="1:3">
      <c r="A202" s="4">
        <v>153</v>
      </c>
      <c r="B202" s="4">
        <v>201</v>
      </c>
      <c r="C202" s="6" t="s">
        <v>1084</v>
      </c>
    </row>
    <row r="203" ht="40.8" spans="1:3">
      <c r="A203" s="4">
        <v>153</v>
      </c>
      <c r="B203" s="4">
        <v>202</v>
      </c>
      <c r="C203" s="6" t="s">
        <v>1085</v>
      </c>
    </row>
    <row r="204" ht="40.8" spans="1:3">
      <c r="A204" s="4">
        <v>154</v>
      </c>
      <c r="B204" s="4">
        <v>203</v>
      </c>
      <c r="C204" s="6" t="s">
        <v>1085</v>
      </c>
    </row>
    <row r="205" spans="1:3">
      <c r="A205" s="4">
        <v>155</v>
      </c>
      <c r="B205" s="4">
        <v>204</v>
      </c>
      <c r="C205" s="6" t="s">
        <v>1086</v>
      </c>
    </row>
    <row r="206" ht="40.8" spans="1:3">
      <c r="A206" s="4">
        <v>156</v>
      </c>
      <c r="B206" s="4">
        <v>205</v>
      </c>
      <c r="C206" s="6" t="s">
        <v>1087</v>
      </c>
    </row>
    <row r="207" spans="1:3">
      <c r="A207" s="4">
        <v>157</v>
      </c>
      <c r="B207" s="4">
        <v>206</v>
      </c>
      <c r="C207" s="6" t="s">
        <v>1088</v>
      </c>
    </row>
    <row r="208" spans="1:3">
      <c r="A208" s="4">
        <v>157</v>
      </c>
      <c r="B208" s="4">
        <v>207</v>
      </c>
      <c r="C208" s="6" t="s">
        <v>1089</v>
      </c>
    </row>
    <row r="209" spans="1:3">
      <c r="A209" s="4">
        <v>158</v>
      </c>
      <c r="B209" s="4">
        <v>208</v>
      </c>
      <c r="C209" s="6" t="s">
        <v>1089</v>
      </c>
    </row>
    <row r="210" spans="1:3">
      <c r="A210" s="4">
        <v>159</v>
      </c>
      <c r="B210" s="4">
        <v>209</v>
      </c>
      <c r="C210" s="6" t="s">
        <v>1089</v>
      </c>
    </row>
    <row r="211" spans="1:3">
      <c r="A211" s="4">
        <v>160</v>
      </c>
      <c r="B211" s="4">
        <v>210</v>
      </c>
      <c r="C211" s="6" t="s">
        <v>1090</v>
      </c>
    </row>
    <row r="212" spans="1:3">
      <c r="A212" s="4">
        <v>161</v>
      </c>
      <c r="B212" s="4">
        <v>211</v>
      </c>
      <c r="C212" s="6" t="s">
        <v>1090</v>
      </c>
    </row>
    <row r="213" spans="1:3">
      <c r="A213" s="4">
        <v>162</v>
      </c>
      <c r="B213" s="4">
        <v>212</v>
      </c>
      <c r="C213" s="6" t="s">
        <v>1091</v>
      </c>
    </row>
    <row r="214" spans="1:3">
      <c r="A214" s="4">
        <v>163</v>
      </c>
      <c r="B214" s="4">
        <v>213</v>
      </c>
      <c r="C214" s="8" t="s">
        <v>1092</v>
      </c>
    </row>
    <row r="215" spans="1:3">
      <c r="A215" s="4">
        <v>164</v>
      </c>
      <c r="B215" s="4">
        <v>214</v>
      </c>
      <c r="C215" s="7" t="s">
        <v>1093</v>
      </c>
    </row>
    <row r="216" spans="1:3">
      <c r="A216" s="4">
        <v>165</v>
      </c>
      <c r="B216" s="4">
        <v>215</v>
      </c>
      <c r="C216" s="8" t="s">
        <v>1094</v>
      </c>
    </row>
    <row r="217" spans="1:3">
      <c r="A217" s="4">
        <v>166</v>
      </c>
      <c r="B217" s="4">
        <v>216</v>
      </c>
      <c r="C217" s="6" t="s">
        <v>1095</v>
      </c>
    </row>
    <row r="218" spans="1:3">
      <c r="A218" s="4">
        <v>167</v>
      </c>
      <c r="B218" s="4">
        <v>217</v>
      </c>
      <c r="C218" s="6" t="s">
        <v>1095</v>
      </c>
    </row>
    <row r="219" spans="1:3">
      <c r="A219" s="4">
        <v>168</v>
      </c>
      <c r="B219" s="4">
        <v>218</v>
      </c>
      <c r="C219" s="6" t="s">
        <v>1096</v>
      </c>
    </row>
    <row r="220" ht="40.8" spans="1:3">
      <c r="A220" s="4">
        <v>169</v>
      </c>
      <c r="B220" s="4">
        <v>219</v>
      </c>
      <c r="C220" s="6" t="s">
        <v>1097</v>
      </c>
    </row>
    <row r="221" spans="1:3">
      <c r="A221" s="4">
        <v>170</v>
      </c>
      <c r="B221" s="4">
        <v>220</v>
      </c>
      <c r="C221" s="6" t="s">
        <v>1098</v>
      </c>
    </row>
    <row r="222" spans="1:3">
      <c r="A222" s="4">
        <v>171</v>
      </c>
      <c r="B222" s="4">
        <v>221</v>
      </c>
      <c r="C222" s="6" t="s">
        <v>1099</v>
      </c>
    </row>
    <row r="223" spans="1:3">
      <c r="A223" s="4">
        <v>172</v>
      </c>
      <c r="B223" s="4">
        <v>222</v>
      </c>
      <c r="C223" s="6" t="s">
        <v>954</v>
      </c>
    </row>
    <row r="224" spans="1:3">
      <c r="A224" s="4">
        <v>173</v>
      </c>
      <c r="B224" s="4">
        <v>223</v>
      </c>
      <c r="C224" s="6" t="s">
        <v>1100</v>
      </c>
    </row>
    <row r="225" spans="1:3">
      <c r="A225" s="4">
        <v>173</v>
      </c>
      <c r="B225" s="4">
        <v>224</v>
      </c>
      <c r="C225" s="7" t="s">
        <v>1100</v>
      </c>
    </row>
    <row r="226" ht="40.8" spans="1:3">
      <c r="A226" s="4">
        <v>174</v>
      </c>
      <c r="B226" s="4">
        <v>225</v>
      </c>
      <c r="C226" s="6" t="s">
        <v>1101</v>
      </c>
    </row>
    <row r="227" ht="40.8" spans="1:3">
      <c r="A227" s="4">
        <v>175</v>
      </c>
      <c r="B227" s="4">
        <v>226</v>
      </c>
      <c r="C227" s="6" t="s">
        <v>1102</v>
      </c>
    </row>
    <row r="228" ht="40.8" spans="1:3">
      <c r="A228" s="4">
        <v>175</v>
      </c>
      <c r="B228" s="4">
        <v>227</v>
      </c>
      <c r="C228" s="6" t="s">
        <v>1103</v>
      </c>
    </row>
    <row r="229" spans="1:3">
      <c r="A229" s="4">
        <v>176</v>
      </c>
      <c r="B229" s="4">
        <v>228</v>
      </c>
      <c r="C229" s="6" t="s">
        <v>1104</v>
      </c>
    </row>
    <row r="230" spans="1:3">
      <c r="A230" s="4">
        <v>176</v>
      </c>
      <c r="B230" s="4">
        <v>229</v>
      </c>
      <c r="C230" s="6" t="s">
        <v>1105</v>
      </c>
    </row>
    <row r="231" ht="40.8" spans="1:3">
      <c r="A231" s="4">
        <v>177</v>
      </c>
      <c r="B231" s="4">
        <v>230</v>
      </c>
      <c r="C231" s="6" t="s">
        <v>1106</v>
      </c>
    </row>
    <row r="232" spans="1:3">
      <c r="A232" s="4">
        <v>177</v>
      </c>
      <c r="B232" s="4">
        <v>231</v>
      </c>
      <c r="C232" s="6" t="s">
        <v>1107</v>
      </c>
    </row>
    <row r="233" spans="1:3">
      <c r="A233" s="4">
        <v>178</v>
      </c>
      <c r="B233" s="4">
        <v>232</v>
      </c>
      <c r="C233" s="6" t="s">
        <v>1108</v>
      </c>
    </row>
    <row r="234" spans="1:3">
      <c r="A234" s="4">
        <v>179</v>
      </c>
      <c r="B234" s="4">
        <v>233</v>
      </c>
      <c r="C234" s="6" t="s">
        <v>1109</v>
      </c>
    </row>
    <row r="235" spans="1:3">
      <c r="A235" s="4">
        <v>180</v>
      </c>
      <c r="B235" s="4">
        <v>234</v>
      </c>
      <c r="C235" s="6" t="s">
        <v>1110</v>
      </c>
    </row>
    <row r="236" spans="1:3">
      <c r="A236" s="4">
        <v>181</v>
      </c>
      <c r="B236" s="4">
        <v>235</v>
      </c>
      <c r="C236" s="6" t="s">
        <v>1110</v>
      </c>
    </row>
    <row r="237" spans="1:3">
      <c r="A237" s="4">
        <v>182</v>
      </c>
      <c r="B237" s="4">
        <v>236</v>
      </c>
      <c r="C237" s="8" t="s">
        <v>954</v>
      </c>
    </row>
    <row r="238" spans="1:3">
      <c r="A238" s="4">
        <v>183</v>
      </c>
      <c r="B238" s="4">
        <v>237</v>
      </c>
      <c r="C238" s="6" t="s">
        <v>1111</v>
      </c>
    </row>
    <row r="239" spans="1:3">
      <c r="A239" s="4">
        <v>183</v>
      </c>
      <c r="B239" s="4">
        <v>238</v>
      </c>
      <c r="C239" s="7" t="s">
        <v>1112</v>
      </c>
    </row>
    <row r="240" ht="40.8" spans="1:3">
      <c r="A240" s="4">
        <v>184</v>
      </c>
      <c r="B240" s="4">
        <v>239</v>
      </c>
      <c r="C240" s="8" t="s">
        <v>1113</v>
      </c>
    </row>
    <row r="241" ht="40.8" spans="1:3">
      <c r="A241" s="4">
        <v>185</v>
      </c>
      <c r="B241" s="4">
        <v>240</v>
      </c>
      <c r="C241" s="6" t="s">
        <v>1114</v>
      </c>
    </row>
    <row r="242" spans="1:3">
      <c r="A242" s="4">
        <v>186</v>
      </c>
      <c r="B242" s="4">
        <v>241</v>
      </c>
      <c r="C242" s="6" t="s">
        <v>1115</v>
      </c>
    </row>
    <row r="243" spans="1:3">
      <c r="A243" s="4">
        <v>187</v>
      </c>
      <c r="B243" s="4">
        <v>242</v>
      </c>
      <c r="C243" s="6" t="s">
        <v>1115</v>
      </c>
    </row>
    <row r="244" spans="1:3">
      <c r="A244" s="4">
        <v>188</v>
      </c>
      <c r="B244" s="4">
        <v>243</v>
      </c>
      <c r="C244" s="6" t="s">
        <v>1116</v>
      </c>
    </row>
    <row r="245" spans="1:3">
      <c r="A245" s="4">
        <v>189</v>
      </c>
      <c r="B245" s="4">
        <v>244</v>
      </c>
      <c r="C245" s="6" t="s">
        <v>1117</v>
      </c>
    </row>
    <row r="246" spans="1:3">
      <c r="A246" s="4">
        <v>190</v>
      </c>
      <c r="B246" s="4">
        <v>245</v>
      </c>
      <c r="C246" s="6" t="s">
        <v>1117</v>
      </c>
    </row>
    <row r="247" spans="1:3">
      <c r="A247" s="4">
        <v>191</v>
      </c>
      <c r="B247" s="4">
        <v>246</v>
      </c>
      <c r="C247" s="6" t="s">
        <v>1118</v>
      </c>
    </row>
    <row r="248" spans="1:3">
      <c r="A248" s="4">
        <v>191</v>
      </c>
      <c r="B248" s="4">
        <v>247</v>
      </c>
      <c r="C248" s="6" t="s">
        <v>1119</v>
      </c>
    </row>
    <row r="249" spans="1:3">
      <c r="A249" s="4">
        <v>192</v>
      </c>
      <c r="B249" s="4">
        <v>248</v>
      </c>
      <c r="C249" s="6" t="s">
        <v>1120</v>
      </c>
    </row>
    <row r="250" spans="1:3">
      <c r="A250" s="4">
        <v>192</v>
      </c>
      <c r="B250" s="4">
        <v>249</v>
      </c>
      <c r="C250" s="6" t="s">
        <v>1120</v>
      </c>
    </row>
    <row r="251" spans="1:3">
      <c r="A251" s="4">
        <v>192</v>
      </c>
      <c r="B251" s="4">
        <v>250</v>
      </c>
      <c r="C251" s="6" t="s">
        <v>1120</v>
      </c>
    </row>
    <row r="252" spans="1:3">
      <c r="A252" s="4">
        <v>193</v>
      </c>
      <c r="B252" s="4">
        <v>251</v>
      </c>
      <c r="C252" s="6" t="s">
        <v>1121</v>
      </c>
    </row>
    <row r="253" spans="1:3">
      <c r="A253" s="4">
        <v>194</v>
      </c>
      <c r="B253" s="4">
        <v>252</v>
      </c>
      <c r="C253" s="9" t="s">
        <v>1121</v>
      </c>
    </row>
    <row r="254" spans="1:3">
      <c r="A254" s="4">
        <v>195</v>
      </c>
      <c r="B254" s="4">
        <v>253</v>
      </c>
      <c r="C254" s="7" t="s">
        <v>954</v>
      </c>
    </row>
    <row r="255" spans="1:3">
      <c r="A255" s="4">
        <v>196</v>
      </c>
      <c r="B255" s="4">
        <v>254</v>
      </c>
      <c r="C255" s="8" t="s">
        <v>1122</v>
      </c>
    </row>
    <row r="256" spans="1:3">
      <c r="A256" s="4">
        <v>197</v>
      </c>
      <c r="B256" s="4">
        <v>255</v>
      </c>
      <c r="C256" s="6" t="s">
        <v>1122</v>
      </c>
    </row>
    <row r="257" spans="1:3">
      <c r="A257" s="4">
        <v>198</v>
      </c>
      <c r="B257" s="4">
        <v>256</v>
      </c>
      <c r="C257" s="6" t="s">
        <v>1123</v>
      </c>
    </row>
    <row r="258" spans="1:3">
      <c r="A258" s="4">
        <v>198</v>
      </c>
      <c r="B258" s="4">
        <v>257</v>
      </c>
      <c r="C258" s="6" t="s">
        <v>1123</v>
      </c>
    </row>
    <row r="259" spans="1:3">
      <c r="A259" s="4">
        <v>199</v>
      </c>
      <c r="B259" s="4">
        <v>258</v>
      </c>
      <c r="C259" s="6" t="s">
        <v>1124</v>
      </c>
    </row>
    <row r="260" ht="40.8" spans="1:3">
      <c r="A260" s="4">
        <v>200</v>
      </c>
      <c r="B260" s="4">
        <v>259</v>
      </c>
      <c r="C260" s="6" t="s">
        <v>1125</v>
      </c>
    </row>
    <row r="261" ht="40.8" spans="1:3">
      <c r="A261" s="4">
        <v>201</v>
      </c>
      <c r="B261" s="4">
        <v>260</v>
      </c>
      <c r="C261" s="6" t="s">
        <v>1125</v>
      </c>
    </row>
    <row r="262" ht="40.8" spans="1:3">
      <c r="A262" s="4">
        <v>202</v>
      </c>
      <c r="B262" s="4">
        <v>261</v>
      </c>
      <c r="C262" s="6" t="s">
        <v>1126</v>
      </c>
    </row>
    <row r="263" ht="40.8" spans="1:3">
      <c r="A263" s="4">
        <v>203</v>
      </c>
      <c r="B263" s="4">
        <v>262</v>
      </c>
      <c r="C263" s="6" t="s">
        <v>1126</v>
      </c>
    </row>
    <row r="264" spans="1:3">
      <c r="A264" s="4">
        <v>204</v>
      </c>
      <c r="B264" s="4">
        <v>263</v>
      </c>
      <c r="C264" s="6" t="s">
        <v>1128</v>
      </c>
    </row>
    <row r="265" spans="1:3">
      <c r="A265" s="4">
        <v>204</v>
      </c>
      <c r="B265" s="4">
        <v>264</v>
      </c>
      <c r="C265" s="6" t="s">
        <v>1128</v>
      </c>
    </row>
    <row r="266" spans="1:3">
      <c r="A266" s="4">
        <v>205</v>
      </c>
      <c r="B266" s="4">
        <v>265</v>
      </c>
      <c r="C266" s="6" t="s">
        <v>1130</v>
      </c>
    </row>
    <row r="267" spans="1:3">
      <c r="A267" s="4">
        <v>206</v>
      </c>
      <c r="B267" s="4">
        <v>266</v>
      </c>
      <c r="C267" s="6" t="s">
        <v>1130</v>
      </c>
    </row>
    <row r="268" ht="40.8" spans="1:3">
      <c r="A268" s="4">
        <v>207</v>
      </c>
      <c r="B268" s="4">
        <v>267</v>
      </c>
      <c r="C268" s="6" t="s">
        <v>1131</v>
      </c>
    </row>
    <row r="269" ht="40.8" spans="1:3">
      <c r="A269" s="4">
        <v>208</v>
      </c>
      <c r="B269" s="4">
        <v>268</v>
      </c>
      <c r="C269" s="6" t="s">
        <v>1131</v>
      </c>
    </row>
    <row r="270" spans="1:3">
      <c r="A270" s="4">
        <v>209</v>
      </c>
      <c r="B270" s="4">
        <v>269</v>
      </c>
      <c r="C270" s="6" t="s">
        <v>1132</v>
      </c>
    </row>
    <row r="271" spans="1:3">
      <c r="A271" s="4">
        <v>209</v>
      </c>
      <c r="B271" s="4">
        <v>270</v>
      </c>
      <c r="C271" s="6" t="s">
        <v>1132</v>
      </c>
    </row>
    <row r="272" spans="1:3">
      <c r="A272" s="4">
        <v>209</v>
      </c>
      <c r="B272" s="4">
        <v>271</v>
      </c>
      <c r="C272" s="6" t="s">
        <v>1132</v>
      </c>
    </row>
    <row r="273" spans="1:3">
      <c r="A273" s="4">
        <v>209</v>
      </c>
      <c r="B273" s="4">
        <v>272</v>
      </c>
      <c r="C273" s="7" t="s">
        <v>1132</v>
      </c>
    </row>
    <row r="274" ht="40.8" spans="1:3">
      <c r="A274" s="4">
        <v>210</v>
      </c>
      <c r="B274" s="4">
        <v>273</v>
      </c>
      <c r="C274" s="8" t="s">
        <v>1133</v>
      </c>
    </row>
    <row r="275" spans="1:3">
      <c r="A275" s="4">
        <v>211</v>
      </c>
      <c r="B275" s="4">
        <v>274</v>
      </c>
      <c r="C275" s="6" t="s">
        <v>1134</v>
      </c>
    </row>
    <row r="276" spans="1:3">
      <c r="A276" s="4">
        <v>212</v>
      </c>
      <c r="B276" s="4">
        <v>275</v>
      </c>
      <c r="C276" s="6" t="s">
        <v>1135</v>
      </c>
    </row>
    <row r="277" spans="1:3">
      <c r="A277" s="4">
        <v>213</v>
      </c>
      <c r="B277" s="4">
        <v>276</v>
      </c>
      <c r="C277" s="6" t="s">
        <v>1136</v>
      </c>
    </row>
    <row r="278" spans="1:3">
      <c r="A278" s="4">
        <v>214</v>
      </c>
      <c r="B278" s="4">
        <v>277</v>
      </c>
      <c r="C278" s="6" t="s">
        <v>1136</v>
      </c>
    </row>
    <row r="279" spans="1:3">
      <c r="A279" s="4">
        <v>215</v>
      </c>
      <c r="B279" s="4">
        <v>278</v>
      </c>
      <c r="C279" s="6" t="s">
        <v>1136</v>
      </c>
    </row>
    <row r="280" spans="1:3">
      <c r="A280" s="4">
        <v>216</v>
      </c>
      <c r="B280" s="4">
        <v>279</v>
      </c>
      <c r="C280" s="6" t="s">
        <v>1138</v>
      </c>
    </row>
    <row r="281" spans="1:3">
      <c r="A281" s="4">
        <v>217</v>
      </c>
      <c r="B281" s="4">
        <v>280</v>
      </c>
      <c r="C281" s="6" t="s">
        <v>1139</v>
      </c>
    </row>
    <row r="282" spans="1:3">
      <c r="A282" s="4">
        <v>218</v>
      </c>
      <c r="B282" s="4">
        <v>281</v>
      </c>
      <c r="C282" s="6" t="s">
        <v>1139</v>
      </c>
    </row>
    <row r="283" spans="1:3">
      <c r="A283" s="4">
        <v>219</v>
      </c>
      <c r="B283" s="4">
        <v>282</v>
      </c>
      <c r="C283" s="6" t="s">
        <v>1132</v>
      </c>
    </row>
    <row r="284" spans="1:3">
      <c r="A284" s="4">
        <v>219</v>
      </c>
      <c r="B284" s="4">
        <v>283</v>
      </c>
      <c r="C284" s="6" t="s">
        <v>1132</v>
      </c>
    </row>
    <row r="285" spans="1:3">
      <c r="A285" s="4">
        <v>219</v>
      </c>
      <c r="B285" s="4">
        <v>284</v>
      </c>
      <c r="C285" s="6" t="s">
        <v>1132</v>
      </c>
    </row>
    <row r="286" spans="1:3">
      <c r="A286" s="4">
        <v>219</v>
      </c>
      <c r="B286" s="4">
        <v>285</v>
      </c>
      <c r="C286" s="7" t="s">
        <v>1132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รับส่งข้อสอบ</vt:lpstr>
      <vt:lpstr>รับต้นฉบับ</vt:lpstr>
      <vt:lpstr>Label</vt:lpstr>
      <vt:lpstr>ใบส่งต้นฉบับ</vt:lpstr>
      <vt:lpstr>กรรมการคุมสอบ</vt:lpstr>
      <vt:lpstr>for examTable</vt:lpstr>
      <vt:lpstr>examTable</vt:lpstr>
      <vt:lpstr>for roomExam</vt:lpstr>
      <vt:lpstr>roomExam</vt:lpstr>
      <vt:lpstr>Room</vt:lpstr>
      <vt:lpstr>roomm</vt:lpstr>
      <vt:lpstr>Proctor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2018-02-11T06:25:00Z</dcterms:created>
  <cp:lastPrinted>2024-08-27T06:32:00Z</cp:lastPrinted>
  <dcterms:modified xsi:type="dcterms:W3CDTF">2026-02-02T14:18:33Z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5F29D045FD714913B74F211E024A0E78_12</vt:lpwstr>
  </property>
  <property fmtid="{D5CDD505-2E9C-101B-9397-08002B2CF9AE}" pid="3" name="KSOProductBuildVer">
    <vt:lpwstr>1033-12.9.0.21549</vt:lpwstr>
  </property>
</Properties>
</file>